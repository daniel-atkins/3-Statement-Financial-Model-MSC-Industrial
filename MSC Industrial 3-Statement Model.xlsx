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8_{0BAE3714-B483-4731-91B2-C077259EFB77}" xr6:coauthVersionLast="47" xr6:coauthVersionMax="47" xr10:uidLastSave="{00000000-0000-0000-0000-000000000000}"/>
  <bookViews>
    <workbookView xWindow="-120" yWindow="-120" windowWidth="29040" windowHeight="15720" tabRatio="861" xr2:uid="{ECE9CF69-9CDD-4AEE-8EE2-DFF53B6678A8}"/>
  </bookViews>
  <sheets>
    <sheet name="Presentation" sheetId="66" r:id="rId1"/>
    <sheet name="Valuation (Base)" sheetId="35" r:id="rId2"/>
    <sheet name="3-Statement (Base)" sheetId="43" r:id="rId3"/>
    <sheet name="Valuation (Downside)" sheetId="64" r:id="rId4"/>
    <sheet name="3-Statement (Downside)" sheetId="65" r:id="rId5"/>
    <sheet name="Support -&gt;" sheetId="26" r:id="rId6"/>
    <sheet name="SOFR" sheetId="2" r:id="rId7"/>
    <sheet name="Income Statement" sheetId="28" r:id="rId8"/>
    <sheet name="Balance Sheet NWC (Base)" sheetId="25" r:id="rId9"/>
    <sheet name="Balance Sheet NWC (Downside)" sheetId="67" r:id="rId10"/>
    <sheet name="Cash Flows" sheetId="37" r:id="rId11"/>
    <sheet name="BS Q3-24" sheetId="6" state="hidden" r:id="rId12"/>
    <sheet name="BS Q2-24" sheetId="9" state="hidden" r:id="rId13"/>
    <sheet name="BS Q1-24" sheetId="12" state="hidden" r:id="rId14"/>
    <sheet name="BS FY23" sheetId="15" state="hidden" r:id="rId15"/>
    <sheet name="BS FY22" sheetId="18" state="hidden" r:id="rId16"/>
    <sheet name="BS FY21" sheetId="22" state="hidden" r:id="rId17"/>
    <sheet name="IS Q3-24" sheetId="7" state="hidden" r:id="rId18"/>
    <sheet name="IS Q2-24" sheetId="10" state="hidden" r:id="rId19"/>
    <sheet name="IS Q1-24" sheetId="13" state="hidden" r:id="rId20"/>
    <sheet name="IS FY23" sheetId="16" state="hidden" r:id="rId21"/>
    <sheet name="IS FY22" sheetId="19" state="hidden" r:id="rId22"/>
    <sheet name="IS FY21" sheetId="23" state="hidden" r:id="rId23"/>
    <sheet name="CF Q3-24" sheetId="8" state="hidden" r:id="rId24"/>
    <sheet name="CF Q2-24" sheetId="11" state="hidden" r:id="rId25"/>
    <sheet name="CF Q1-24" sheetId="14" state="hidden" r:id="rId26"/>
    <sheet name="CF FY23" sheetId="17" state="hidden" r:id="rId27"/>
    <sheet name="CF FY22" sheetId="20" state="hidden" r:id="rId28"/>
    <sheet name="CF FY21" sheetId="24" state="hidden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43" l="1"/>
  <c r="K25" i="43"/>
  <c r="C19" i="43" l="1"/>
  <c r="F82" i="35"/>
  <c r="E82" i="35"/>
  <c r="F78" i="35"/>
  <c r="E78" i="35"/>
  <c r="K21" i="67"/>
  <c r="L21" i="67"/>
  <c r="M21" i="67"/>
  <c r="N21" i="67" s="1"/>
  <c r="O21" i="67" s="1"/>
  <c r="P21" i="67" s="1"/>
  <c r="Q21" i="67" s="1"/>
  <c r="R21" i="67" s="1"/>
  <c r="K22" i="67"/>
  <c r="L22" i="67"/>
  <c r="M22" i="67"/>
  <c r="N22" i="67" s="1"/>
  <c r="O22" i="67" s="1"/>
  <c r="P22" i="67" s="1"/>
  <c r="Q22" i="67" s="1"/>
  <c r="R22" i="67" s="1"/>
  <c r="K23" i="67"/>
  <c r="L23" i="67"/>
  <c r="M23" i="67"/>
  <c r="N23" i="67"/>
  <c r="O23" i="67"/>
  <c r="P23" i="67"/>
  <c r="Q23" i="67" s="1"/>
  <c r="R23" i="67" s="1"/>
  <c r="J22" i="67"/>
  <c r="J23" i="67"/>
  <c r="J21" i="67"/>
  <c r="K10" i="67"/>
  <c r="L10" i="67" s="1"/>
  <c r="M10" i="67" s="1"/>
  <c r="N10" i="67" s="1"/>
  <c r="O10" i="67" s="1"/>
  <c r="P10" i="67" s="1"/>
  <c r="Q10" i="67" s="1"/>
  <c r="R10" i="67" s="1"/>
  <c r="K9" i="67"/>
  <c r="L9" i="67" s="1"/>
  <c r="M9" i="67" s="1"/>
  <c r="N9" i="67" s="1"/>
  <c r="O9" i="67" s="1"/>
  <c r="P9" i="67" s="1"/>
  <c r="Q9" i="67" s="1"/>
  <c r="R9" i="67" s="1"/>
  <c r="K8" i="67"/>
  <c r="L8" i="67" s="1"/>
  <c r="M8" i="67" s="1"/>
  <c r="N8" i="67" s="1"/>
  <c r="O8" i="67" s="1"/>
  <c r="P8" i="67" s="1"/>
  <c r="Q8" i="67" s="1"/>
  <c r="R8" i="67" s="1"/>
  <c r="J9" i="67"/>
  <c r="J10" i="67"/>
  <c r="J8" i="67"/>
  <c r="K20" i="25"/>
  <c r="L20" i="25"/>
  <c r="M20" i="25" s="1"/>
  <c r="N20" i="25" s="1"/>
  <c r="O20" i="25" s="1"/>
  <c r="P20" i="25" s="1"/>
  <c r="Q20" i="25" s="1"/>
  <c r="R20" i="25" s="1"/>
  <c r="K21" i="25"/>
  <c r="L21" i="25"/>
  <c r="M21" i="25" s="1"/>
  <c r="N21" i="25" s="1"/>
  <c r="O21" i="25" s="1"/>
  <c r="P21" i="25" s="1"/>
  <c r="Q21" i="25" s="1"/>
  <c r="R21" i="25" s="1"/>
  <c r="K22" i="25"/>
  <c r="L22" i="25"/>
  <c r="M22" i="25"/>
  <c r="N22" i="25"/>
  <c r="O22" i="25"/>
  <c r="P22" i="25"/>
  <c r="Q22" i="25"/>
  <c r="R22" i="25"/>
  <c r="K23" i="25"/>
  <c r="L23" i="25"/>
  <c r="M23" i="25" s="1"/>
  <c r="N23" i="25" s="1"/>
  <c r="O23" i="25" s="1"/>
  <c r="P23" i="25" s="1"/>
  <c r="Q23" i="25" s="1"/>
  <c r="R23" i="25" s="1"/>
  <c r="J22" i="25"/>
  <c r="J23" i="25"/>
  <c r="J21" i="25"/>
  <c r="K8" i="25"/>
  <c r="L8" i="25" s="1"/>
  <c r="M8" i="25" s="1"/>
  <c r="N8" i="25" s="1"/>
  <c r="O8" i="25" s="1"/>
  <c r="P8" i="25" s="1"/>
  <c r="Q8" i="25" s="1"/>
  <c r="R8" i="25" s="1"/>
  <c r="K9" i="25"/>
  <c r="L9" i="25"/>
  <c r="M9" i="25" s="1"/>
  <c r="N9" i="25" s="1"/>
  <c r="O9" i="25" s="1"/>
  <c r="P9" i="25" s="1"/>
  <c r="Q9" i="25" s="1"/>
  <c r="R9" i="25" s="1"/>
  <c r="K10" i="25"/>
  <c r="L10" i="25"/>
  <c r="M10" i="25"/>
  <c r="N10" i="25"/>
  <c r="O10" i="25"/>
  <c r="P10" i="25"/>
  <c r="Q10" i="25"/>
  <c r="R10" i="25"/>
  <c r="J11" i="25"/>
  <c r="J10" i="25"/>
  <c r="J9" i="25"/>
  <c r="J8" i="25"/>
  <c r="I49" i="25"/>
  <c r="J55" i="43"/>
  <c r="J15" i="43"/>
  <c r="J49" i="43" s="1"/>
  <c r="J24" i="43"/>
  <c r="J19" i="43"/>
  <c r="J18" i="43"/>
  <c r="J17" i="43"/>
  <c r="J54" i="43"/>
  <c r="L89" i="65"/>
  <c r="J89" i="65"/>
  <c r="J88" i="65"/>
  <c r="J98" i="65"/>
  <c r="K68" i="65"/>
  <c r="J68" i="65"/>
  <c r="I68" i="65"/>
  <c r="H68" i="65"/>
  <c r="G68" i="65"/>
  <c r="F68" i="65"/>
  <c r="E68" i="65"/>
  <c r="D68" i="65"/>
  <c r="C68" i="65"/>
  <c r="X7" i="66"/>
  <c r="AA15" i="66"/>
  <c r="AB15" i="66"/>
  <c r="AC15" i="66"/>
  <c r="AD15" i="66"/>
  <c r="AA16" i="66"/>
  <c r="AB16" i="66"/>
  <c r="AC16" i="66"/>
  <c r="AD16" i="66"/>
  <c r="AE16" i="66"/>
  <c r="AF16" i="66"/>
  <c r="AA17" i="66"/>
  <c r="AB17" i="66"/>
  <c r="AC17" i="66"/>
  <c r="AD17" i="66"/>
  <c r="AE17" i="66"/>
  <c r="AF17" i="66"/>
  <c r="AA18" i="66"/>
  <c r="AB18" i="66"/>
  <c r="AC18" i="66"/>
  <c r="AD18" i="66"/>
  <c r="AE18" i="66"/>
  <c r="AF18" i="66"/>
  <c r="AA19" i="66"/>
  <c r="AB19" i="66"/>
  <c r="AC19" i="66"/>
  <c r="AD19" i="66"/>
  <c r="AE19" i="66"/>
  <c r="AF19" i="66"/>
  <c r="AA20" i="66"/>
  <c r="AB20" i="66"/>
  <c r="AC20" i="66"/>
  <c r="AD20" i="66"/>
  <c r="AE20" i="66"/>
  <c r="AF20" i="66"/>
  <c r="Z20" i="66"/>
  <c r="Z19" i="66"/>
  <c r="Z18" i="66"/>
  <c r="Z17" i="66"/>
  <c r="Z16" i="66"/>
  <c r="Z15" i="66"/>
  <c r="AF14" i="66"/>
  <c r="AE14" i="66"/>
  <c r="AD14" i="66"/>
  <c r="AC14" i="66"/>
  <c r="AB14" i="66"/>
  <c r="AA14" i="66"/>
  <c r="Z14" i="66"/>
  <c r="AF5" i="66"/>
  <c r="AE5" i="66"/>
  <c r="AD5" i="66"/>
  <c r="AC5" i="66"/>
  <c r="AB5" i="66"/>
  <c r="AA5" i="66"/>
  <c r="Z5" i="66"/>
  <c r="J20" i="25" l="1"/>
  <c r="D50" i="67"/>
  <c r="E50" i="67"/>
  <c r="F50" i="67"/>
  <c r="G50" i="67"/>
  <c r="H50" i="67"/>
  <c r="I50" i="67"/>
  <c r="C50" i="67"/>
  <c r="C49" i="67"/>
  <c r="D49" i="67"/>
  <c r="E49" i="67"/>
  <c r="F49" i="67"/>
  <c r="G49" i="67"/>
  <c r="H49" i="67"/>
  <c r="I49" i="67"/>
  <c r="X10" i="66"/>
  <c r="X9" i="66"/>
  <c r="X8" i="66"/>
  <c r="X6" i="66"/>
  <c r="D9" i="66"/>
  <c r="Q10" i="43" l="1"/>
  <c r="Q10" i="65" s="1"/>
  <c r="AE15" i="66" s="1"/>
  <c r="R10" i="43" l="1"/>
  <c r="R10" i="65" s="1"/>
  <c r="AF15" i="66" s="1"/>
  <c r="C70" i="43"/>
  <c r="D70" i="43"/>
  <c r="E70" i="43"/>
  <c r="F70" i="43"/>
  <c r="G70" i="43"/>
  <c r="H70" i="43"/>
  <c r="I70" i="43"/>
  <c r="C71" i="43"/>
  <c r="D71" i="43"/>
  <c r="E71" i="43"/>
  <c r="F71" i="43"/>
  <c r="G71" i="43"/>
  <c r="H71" i="43"/>
  <c r="I71" i="43"/>
  <c r="J71" i="43"/>
  <c r="K71" i="43" s="1"/>
  <c r="L71" i="43" s="1"/>
  <c r="M71" i="43" s="1"/>
  <c r="N71" i="43" s="1"/>
  <c r="O71" i="43" s="1"/>
  <c r="P71" i="43" s="1"/>
  <c r="Q71" i="43" s="1"/>
  <c r="R71" i="43" s="1"/>
  <c r="C72" i="43"/>
  <c r="D72" i="43"/>
  <c r="E72" i="43"/>
  <c r="F72" i="43"/>
  <c r="G72" i="43"/>
  <c r="H72" i="43"/>
  <c r="I72" i="43"/>
  <c r="C77" i="43"/>
  <c r="D77" i="43"/>
  <c r="E77" i="43"/>
  <c r="F77" i="43"/>
  <c r="G77" i="43"/>
  <c r="H77" i="43"/>
  <c r="I77" i="43"/>
  <c r="J77" i="43" s="1"/>
  <c r="K77" i="43" s="1"/>
  <c r="L77" i="43" s="1"/>
  <c r="M77" i="43" s="1"/>
  <c r="N77" i="43" s="1"/>
  <c r="O77" i="43" s="1"/>
  <c r="P77" i="43" s="1"/>
  <c r="Q77" i="43" s="1"/>
  <c r="R77" i="43" s="1"/>
  <c r="C78" i="43"/>
  <c r="D78" i="43"/>
  <c r="E78" i="43"/>
  <c r="F78" i="43"/>
  <c r="G78" i="43"/>
  <c r="H78" i="43"/>
  <c r="I78" i="43"/>
  <c r="J78" i="43" s="1"/>
  <c r="C79" i="43"/>
  <c r="D79" i="43"/>
  <c r="E79" i="43"/>
  <c r="F79" i="43"/>
  <c r="G79" i="43"/>
  <c r="H79" i="43"/>
  <c r="I79" i="43"/>
  <c r="J79" i="43" s="1"/>
  <c r="K79" i="43" s="1"/>
  <c r="L79" i="43" s="1"/>
  <c r="M79" i="43" s="1"/>
  <c r="N79" i="43" s="1"/>
  <c r="O79" i="43" s="1"/>
  <c r="P79" i="43" s="1"/>
  <c r="Q79" i="43" s="1"/>
  <c r="R79" i="43" s="1"/>
  <c r="C80" i="43"/>
  <c r="D80" i="43"/>
  <c r="E80" i="43"/>
  <c r="F80" i="43"/>
  <c r="G80" i="43"/>
  <c r="H80" i="43"/>
  <c r="I80" i="43"/>
  <c r="J80" i="43" s="1"/>
  <c r="K80" i="43" s="1"/>
  <c r="L80" i="43" s="1"/>
  <c r="M80" i="43" s="1"/>
  <c r="N80" i="43" s="1"/>
  <c r="O80" i="43" s="1"/>
  <c r="P80" i="43" s="1"/>
  <c r="Q80" i="43" s="1"/>
  <c r="R80" i="43" s="1"/>
  <c r="D82" i="65"/>
  <c r="E82" i="65"/>
  <c r="F82" i="65"/>
  <c r="G82" i="65"/>
  <c r="H82" i="65"/>
  <c r="I82" i="65"/>
  <c r="C82" i="65"/>
  <c r="I46" i="67"/>
  <c r="H46" i="67"/>
  <c r="G46" i="67"/>
  <c r="F46" i="67"/>
  <c r="E46" i="67"/>
  <c r="D46" i="67"/>
  <c r="C46" i="67"/>
  <c r="F44" i="67"/>
  <c r="I43" i="67"/>
  <c r="I44" i="67" s="1"/>
  <c r="H43" i="67"/>
  <c r="H44" i="67" s="1"/>
  <c r="G43" i="67"/>
  <c r="G44" i="67" s="1"/>
  <c r="F43" i="67"/>
  <c r="E43" i="67"/>
  <c r="D43" i="67"/>
  <c r="D44" i="67" s="1"/>
  <c r="C43" i="67"/>
  <c r="C44" i="67" s="1"/>
  <c r="I42" i="67"/>
  <c r="H42" i="67"/>
  <c r="G42" i="67"/>
  <c r="F42" i="67"/>
  <c r="E42" i="67"/>
  <c r="D42" i="67"/>
  <c r="C42" i="67"/>
  <c r="I41" i="67"/>
  <c r="H41" i="67"/>
  <c r="G41" i="67"/>
  <c r="F41" i="67"/>
  <c r="E41" i="67"/>
  <c r="D41" i="67"/>
  <c r="C41" i="67"/>
  <c r="I40" i="67"/>
  <c r="H40" i="67"/>
  <c r="G40" i="67"/>
  <c r="F40" i="67"/>
  <c r="E40" i="67"/>
  <c r="D40" i="67"/>
  <c r="C40" i="67"/>
  <c r="I39" i="67"/>
  <c r="H39" i="67"/>
  <c r="G39" i="67"/>
  <c r="F39" i="67"/>
  <c r="E39" i="67"/>
  <c r="D39" i="67"/>
  <c r="C39" i="67"/>
  <c r="I38" i="67"/>
  <c r="H38" i="67"/>
  <c r="G38" i="67"/>
  <c r="F38" i="67"/>
  <c r="E38" i="67"/>
  <c r="D38" i="67"/>
  <c r="C38" i="67"/>
  <c r="I37" i="67"/>
  <c r="H37" i="67"/>
  <c r="G37" i="67"/>
  <c r="F37" i="67"/>
  <c r="E37" i="67"/>
  <c r="D37" i="67"/>
  <c r="C37" i="67"/>
  <c r="I36" i="67"/>
  <c r="H36" i="67"/>
  <c r="G36" i="67"/>
  <c r="F36" i="67"/>
  <c r="E36" i="67"/>
  <c r="D36" i="67"/>
  <c r="C36" i="67"/>
  <c r="F35" i="67"/>
  <c r="E35" i="67"/>
  <c r="D35" i="67"/>
  <c r="C35" i="67"/>
  <c r="I34" i="67"/>
  <c r="H34" i="67"/>
  <c r="G34" i="67"/>
  <c r="F34" i="67"/>
  <c r="E34" i="67"/>
  <c r="D34" i="67"/>
  <c r="C34" i="67"/>
  <c r="I32" i="67"/>
  <c r="H32" i="67"/>
  <c r="G32" i="67"/>
  <c r="F32" i="67"/>
  <c r="E32" i="67"/>
  <c r="D32" i="67"/>
  <c r="C32" i="67"/>
  <c r="I31" i="67"/>
  <c r="H31" i="67"/>
  <c r="G31" i="67"/>
  <c r="F31" i="67"/>
  <c r="E31" i="67"/>
  <c r="D31" i="67"/>
  <c r="C31" i="67"/>
  <c r="I30" i="67"/>
  <c r="H30" i="67"/>
  <c r="G30" i="67"/>
  <c r="F30" i="67"/>
  <c r="E30" i="67"/>
  <c r="D30" i="67"/>
  <c r="C30" i="67"/>
  <c r="I29" i="67"/>
  <c r="H29" i="67"/>
  <c r="G29" i="67"/>
  <c r="F29" i="67"/>
  <c r="E29" i="67"/>
  <c r="D29" i="67"/>
  <c r="C29" i="67"/>
  <c r="I28" i="67"/>
  <c r="H28" i="67"/>
  <c r="G28" i="67"/>
  <c r="F28" i="67"/>
  <c r="E28" i="67"/>
  <c r="D28" i="67"/>
  <c r="I27" i="67"/>
  <c r="H27" i="67"/>
  <c r="G27" i="67"/>
  <c r="F27" i="67"/>
  <c r="E27" i="67"/>
  <c r="D27" i="67"/>
  <c r="C27" i="67"/>
  <c r="I26" i="67"/>
  <c r="H26" i="67"/>
  <c r="G26" i="67"/>
  <c r="F26" i="67"/>
  <c r="E26" i="67"/>
  <c r="D26" i="67"/>
  <c r="C26" i="67"/>
  <c r="I25" i="67"/>
  <c r="H25" i="67"/>
  <c r="G25" i="67"/>
  <c r="F25" i="67"/>
  <c r="E25" i="67"/>
  <c r="D25" i="67"/>
  <c r="C25" i="67"/>
  <c r="I24" i="67"/>
  <c r="H24" i="67"/>
  <c r="G24" i="67"/>
  <c r="F24" i="67"/>
  <c r="E24" i="67"/>
  <c r="D24" i="67"/>
  <c r="C24" i="67"/>
  <c r="I23" i="67"/>
  <c r="H23" i="67"/>
  <c r="G23" i="67"/>
  <c r="F23" i="67"/>
  <c r="E23" i="67"/>
  <c r="D23" i="67"/>
  <c r="C23" i="67"/>
  <c r="I22" i="67"/>
  <c r="H22" i="67"/>
  <c r="G22" i="67"/>
  <c r="F22" i="67"/>
  <c r="E22" i="67"/>
  <c r="D22" i="67"/>
  <c r="C22" i="67"/>
  <c r="I21" i="67"/>
  <c r="H21" i="67"/>
  <c r="G21" i="67"/>
  <c r="F21" i="67"/>
  <c r="E21" i="67"/>
  <c r="D21" i="67"/>
  <c r="C21" i="67"/>
  <c r="I20" i="67"/>
  <c r="H20" i="67"/>
  <c r="G20" i="67"/>
  <c r="F20" i="67"/>
  <c r="E20" i="67"/>
  <c r="D20" i="67"/>
  <c r="C20" i="67"/>
  <c r="I19" i="67"/>
  <c r="H19" i="67"/>
  <c r="G19" i="67"/>
  <c r="F19" i="67"/>
  <c r="E19" i="67"/>
  <c r="D19" i="67"/>
  <c r="C19" i="67"/>
  <c r="I18" i="67"/>
  <c r="H18" i="67"/>
  <c r="G18" i="67"/>
  <c r="F18" i="67"/>
  <c r="E18" i="67"/>
  <c r="D18" i="67"/>
  <c r="C18" i="67"/>
  <c r="I17" i="67"/>
  <c r="H17" i="67"/>
  <c r="G17" i="67"/>
  <c r="F17" i="67"/>
  <c r="E17" i="67"/>
  <c r="E44" i="67" s="1"/>
  <c r="D17" i="67"/>
  <c r="C17" i="67"/>
  <c r="I16" i="67"/>
  <c r="H16" i="67"/>
  <c r="G16" i="67"/>
  <c r="F16" i="67"/>
  <c r="E16" i="67"/>
  <c r="D16" i="67"/>
  <c r="C16" i="67"/>
  <c r="I15" i="67"/>
  <c r="H15" i="67"/>
  <c r="G15" i="67"/>
  <c r="F15" i="67"/>
  <c r="E15" i="67"/>
  <c r="D15" i="67"/>
  <c r="C15" i="67"/>
  <c r="I14" i="67"/>
  <c r="H14" i="67"/>
  <c r="G14" i="67"/>
  <c r="F14" i="67"/>
  <c r="E14" i="67"/>
  <c r="D14" i="67"/>
  <c r="C14" i="67"/>
  <c r="I13" i="67"/>
  <c r="H13" i="67"/>
  <c r="G13" i="67"/>
  <c r="F13" i="67"/>
  <c r="E13" i="67"/>
  <c r="D13" i="67"/>
  <c r="C13" i="67"/>
  <c r="I12" i="67"/>
  <c r="H12" i="67"/>
  <c r="G12" i="67"/>
  <c r="F12" i="67"/>
  <c r="E12" i="67"/>
  <c r="D12" i="67"/>
  <c r="C12" i="67"/>
  <c r="I11" i="67"/>
  <c r="H11" i="67"/>
  <c r="G11" i="67"/>
  <c r="F11" i="67"/>
  <c r="E11" i="67"/>
  <c r="D11" i="67"/>
  <c r="C11" i="67"/>
  <c r="I10" i="67"/>
  <c r="H10" i="67"/>
  <c r="G10" i="67"/>
  <c r="F10" i="67"/>
  <c r="E10" i="67"/>
  <c r="D10" i="67"/>
  <c r="C10" i="67"/>
  <c r="I9" i="67"/>
  <c r="H9" i="67"/>
  <c r="G9" i="67"/>
  <c r="F9" i="67"/>
  <c r="E9" i="67"/>
  <c r="D9" i="67"/>
  <c r="C9" i="67"/>
  <c r="I8" i="67"/>
  <c r="H8" i="67"/>
  <c r="G8" i="67"/>
  <c r="F8" i="67"/>
  <c r="E8" i="67"/>
  <c r="D8" i="67"/>
  <c r="C8" i="67"/>
  <c r="I7" i="67"/>
  <c r="I45" i="67" s="1"/>
  <c r="I47" i="67" s="1"/>
  <c r="H7" i="67"/>
  <c r="H45" i="67" s="1"/>
  <c r="H47" i="67" s="1"/>
  <c r="G7" i="67"/>
  <c r="G45" i="67" s="1"/>
  <c r="G47" i="67" s="1"/>
  <c r="F7" i="67"/>
  <c r="F45" i="67" s="1"/>
  <c r="F47" i="67" s="1"/>
  <c r="E7" i="67"/>
  <c r="E45" i="67" s="1"/>
  <c r="E47" i="67" s="1"/>
  <c r="D7" i="67"/>
  <c r="D45" i="67" s="1"/>
  <c r="D47" i="67" s="1"/>
  <c r="C7" i="67"/>
  <c r="C45" i="67" s="1"/>
  <c r="C47" i="67" s="1"/>
  <c r="J4" i="67"/>
  <c r="I4" i="67"/>
  <c r="H4" i="67"/>
  <c r="G4" i="67"/>
  <c r="C4" i="67"/>
  <c r="K78" i="43" l="1"/>
  <c r="L78" i="43" s="1"/>
  <c r="J107" i="43"/>
  <c r="E81" i="43"/>
  <c r="F81" i="43"/>
  <c r="C81" i="43"/>
  <c r="H81" i="43"/>
  <c r="G81" i="43"/>
  <c r="D81" i="43"/>
  <c r="I81" i="43"/>
  <c r="M78" i="43" l="1"/>
  <c r="L107" i="43"/>
  <c r="N78" i="43" l="1"/>
  <c r="M107" i="43"/>
  <c r="O78" i="43" l="1"/>
  <c r="N107" i="43"/>
  <c r="P78" i="43" l="1"/>
  <c r="O107" i="43"/>
  <c r="Q78" i="43" l="1"/>
  <c r="P107" i="43"/>
  <c r="R78" i="43" l="1"/>
  <c r="R107" i="43" s="1"/>
  <c r="Q107" i="43"/>
  <c r="D7" i="66" l="1"/>
  <c r="D12" i="66"/>
  <c r="D20" i="66"/>
  <c r="N20" i="66" s="1"/>
  <c r="D19" i="66"/>
  <c r="N19" i="66" s="1"/>
  <c r="D18" i="66"/>
  <c r="N18" i="66" s="1"/>
  <c r="D17" i="66"/>
  <c r="N17" i="66" s="1"/>
  <c r="D16" i="66"/>
  <c r="N16" i="66" s="1"/>
  <c r="D15" i="66"/>
  <c r="N15" i="66" s="1"/>
  <c r="D8" i="66"/>
  <c r="D6" i="66"/>
  <c r="E111" i="65"/>
  <c r="E112" i="65" s="1"/>
  <c r="F111" i="65"/>
  <c r="F112" i="65" s="1"/>
  <c r="G111" i="65"/>
  <c r="G112" i="65" s="1"/>
  <c r="H111" i="65"/>
  <c r="H112" i="65" s="1"/>
  <c r="I111" i="65"/>
  <c r="I112" i="65" s="1"/>
  <c r="D111" i="65"/>
  <c r="D112" i="65" s="1"/>
  <c r="C111" i="65"/>
  <c r="C112" i="65" s="1"/>
  <c r="E106" i="43"/>
  <c r="E107" i="43" s="1"/>
  <c r="F106" i="43"/>
  <c r="F107" i="43" s="1"/>
  <c r="G106" i="43"/>
  <c r="G107" i="43" s="1"/>
  <c r="H106" i="43"/>
  <c r="H107" i="43" s="1"/>
  <c r="I106" i="43"/>
  <c r="I107" i="43" s="1"/>
  <c r="D106" i="43"/>
  <c r="D107" i="43" s="1"/>
  <c r="C106" i="43"/>
  <c r="C107" i="43" s="1"/>
  <c r="C107" i="65"/>
  <c r="D107" i="65"/>
  <c r="E107" i="65"/>
  <c r="F107" i="65"/>
  <c r="G107" i="65"/>
  <c r="H107" i="65"/>
  <c r="I107" i="65"/>
  <c r="I122" i="65"/>
  <c r="H122" i="65"/>
  <c r="G122" i="65"/>
  <c r="F122" i="65"/>
  <c r="E122" i="65"/>
  <c r="D122" i="65"/>
  <c r="C122" i="65"/>
  <c r="I119" i="65"/>
  <c r="H119" i="65"/>
  <c r="G119" i="65"/>
  <c r="F119" i="65"/>
  <c r="E119" i="65"/>
  <c r="D119" i="65"/>
  <c r="C119" i="65"/>
  <c r="I116" i="65"/>
  <c r="H116" i="65"/>
  <c r="G116" i="65"/>
  <c r="F116" i="65"/>
  <c r="E116" i="65"/>
  <c r="D116" i="65"/>
  <c r="C116" i="65"/>
  <c r="I115" i="65"/>
  <c r="H115" i="65"/>
  <c r="G115" i="65"/>
  <c r="F115" i="65"/>
  <c r="E115" i="65"/>
  <c r="D115" i="65"/>
  <c r="C115" i="65"/>
  <c r="I114" i="65"/>
  <c r="H114" i="65"/>
  <c r="G114" i="65"/>
  <c r="F114" i="65"/>
  <c r="E114" i="65"/>
  <c r="D114" i="65"/>
  <c r="C114" i="65"/>
  <c r="I113" i="65"/>
  <c r="H113" i="65"/>
  <c r="G113" i="65"/>
  <c r="F113" i="65"/>
  <c r="E113" i="65"/>
  <c r="D113" i="65"/>
  <c r="C113" i="65"/>
  <c r="I106" i="65"/>
  <c r="H106" i="65"/>
  <c r="G106" i="65"/>
  <c r="F106" i="65"/>
  <c r="E106" i="65"/>
  <c r="D106" i="65"/>
  <c r="C106" i="65"/>
  <c r="I102" i="65"/>
  <c r="H102" i="65"/>
  <c r="G102" i="65"/>
  <c r="F102" i="65"/>
  <c r="E102" i="65"/>
  <c r="D102" i="65"/>
  <c r="C102" i="65"/>
  <c r="I99" i="65"/>
  <c r="H99" i="65"/>
  <c r="G99" i="65"/>
  <c r="F99" i="65"/>
  <c r="E99" i="65"/>
  <c r="D99" i="65"/>
  <c r="C99" i="65"/>
  <c r="J96" i="65"/>
  <c r="I96" i="65"/>
  <c r="H96" i="65"/>
  <c r="G96" i="65"/>
  <c r="C96" i="65"/>
  <c r="I42" i="65"/>
  <c r="I43" i="65" s="1"/>
  <c r="I44" i="65" s="1"/>
  <c r="J70" i="65"/>
  <c r="I70" i="65"/>
  <c r="H70" i="65"/>
  <c r="G70" i="65"/>
  <c r="C70" i="65"/>
  <c r="I63" i="65"/>
  <c r="H63" i="65"/>
  <c r="G63" i="65"/>
  <c r="F63" i="65"/>
  <c r="E63" i="65"/>
  <c r="D63" i="65"/>
  <c r="C63" i="65"/>
  <c r="I60" i="65"/>
  <c r="H60" i="65"/>
  <c r="G60" i="65"/>
  <c r="F60" i="65"/>
  <c r="E60" i="65"/>
  <c r="D60" i="65"/>
  <c r="C60" i="65"/>
  <c r="I59" i="65"/>
  <c r="H59" i="65"/>
  <c r="G59" i="65"/>
  <c r="F59" i="65"/>
  <c r="E59" i="65"/>
  <c r="D59" i="65"/>
  <c r="C59" i="65"/>
  <c r="I55" i="65"/>
  <c r="H55" i="65"/>
  <c r="G55" i="65"/>
  <c r="F55" i="65"/>
  <c r="E55" i="65"/>
  <c r="D55" i="65"/>
  <c r="C55" i="65"/>
  <c r="I54" i="65"/>
  <c r="H54" i="65"/>
  <c r="G54" i="65"/>
  <c r="F54" i="65"/>
  <c r="E54" i="65"/>
  <c r="D54" i="65"/>
  <c r="C54" i="65"/>
  <c r="I53" i="65"/>
  <c r="H53" i="65"/>
  <c r="G53" i="65"/>
  <c r="F53" i="65"/>
  <c r="E53" i="65"/>
  <c r="D53" i="65"/>
  <c r="C53" i="65"/>
  <c r="I52" i="65"/>
  <c r="H52" i="65"/>
  <c r="G52" i="65"/>
  <c r="F52" i="65"/>
  <c r="E52" i="65"/>
  <c r="D52" i="65"/>
  <c r="C52" i="65"/>
  <c r="I51" i="65"/>
  <c r="H51" i="65"/>
  <c r="G51" i="65"/>
  <c r="F51" i="65"/>
  <c r="E51" i="65"/>
  <c r="D51" i="65"/>
  <c r="C51" i="65"/>
  <c r="I48" i="65"/>
  <c r="I49" i="65" s="1"/>
  <c r="H48" i="65"/>
  <c r="H49" i="65" s="1"/>
  <c r="G48" i="65"/>
  <c r="G49" i="65" s="1"/>
  <c r="F48" i="65"/>
  <c r="F49" i="65" s="1"/>
  <c r="E48" i="65"/>
  <c r="E49" i="65" s="1"/>
  <c r="D48" i="65"/>
  <c r="D49" i="65" s="1"/>
  <c r="C48" i="65"/>
  <c r="C49" i="65" s="1"/>
  <c r="J46" i="65"/>
  <c r="I46" i="65"/>
  <c r="H46" i="65"/>
  <c r="G46" i="65"/>
  <c r="C46" i="65"/>
  <c r="D2" i="65"/>
  <c r="D96" i="65" s="1"/>
  <c r="F39" i="64"/>
  <c r="E4" i="64"/>
  <c r="E47" i="64" s="1"/>
  <c r="J4" i="25"/>
  <c r="I4" i="25"/>
  <c r="H4" i="25"/>
  <c r="G4" i="25"/>
  <c r="C4" i="25"/>
  <c r="E4" i="35"/>
  <c r="E47" i="35" s="1"/>
  <c r="C30" i="65" l="1"/>
  <c r="E30" i="65"/>
  <c r="F30" i="65"/>
  <c r="G30" i="65"/>
  <c r="H30" i="65"/>
  <c r="I30" i="65"/>
  <c r="J119" i="65"/>
  <c r="K119" i="65" s="1"/>
  <c r="D30" i="65"/>
  <c r="J30" i="65"/>
  <c r="D9" i="65"/>
  <c r="I17" i="65"/>
  <c r="D18" i="65"/>
  <c r="C16" i="65"/>
  <c r="D16" i="65"/>
  <c r="G9" i="65"/>
  <c r="D13" i="65"/>
  <c r="D19" i="65"/>
  <c r="I13" i="65"/>
  <c r="D17" i="65"/>
  <c r="C17" i="65"/>
  <c r="E16" i="65"/>
  <c r="G13" i="65"/>
  <c r="I16" i="65"/>
  <c r="I19" i="65"/>
  <c r="E9" i="65"/>
  <c r="E18" i="65"/>
  <c r="E13" i="65"/>
  <c r="C19" i="65"/>
  <c r="E19" i="65"/>
  <c r="F9" i="65"/>
  <c r="K9" i="65" s="1"/>
  <c r="L9" i="65" s="1"/>
  <c r="M9" i="65" s="1"/>
  <c r="H9" i="65"/>
  <c r="H10" i="65" s="1"/>
  <c r="I9" i="65"/>
  <c r="I27" i="65"/>
  <c r="F16" i="65"/>
  <c r="H18" i="65"/>
  <c r="F13" i="65"/>
  <c r="H16" i="65"/>
  <c r="H13" i="65"/>
  <c r="F19" i="65"/>
  <c r="C108" i="65"/>
  <c r="F18" i="65"/>
  <c r="I18" i="65"/>
  <c r="G17" i="65"/>
  <c r="C9" i="65"/>
  <c r="D10" i="65" s="1"/>
  <c r="I34" i="65"/>
  <c r="K115" i="65"/>
  <c r="H19" i="65"/>
  <c r="E17" i="65"/>
  <c r="C13" i="65"/>
  <c r="F17" i="65"/>
  <c r="D108" i="65"/>
  <c r="E108" i="65"/>
  <c r="H17" i="65"/>
  <c r="F108" i="65"/>
  <c r="G108" i="65"/>
  <c r="C18" i="65"/>
  <c r="H108" i="65"/>
  <c r="C34" i="65"/>
  <c r="C117" i="65"/>
  <c r="C57" i="65"/>
  <c r="C56" i="65"/>
  <c r="C61" i="65" s="1"/>
  <c r="C27" i="65"/>
  <c r="C26" i="65"/>
  <c r="C15" i="65"/>
  <c r="D117" i="65"/>
  <c r="D34" i="65"/>
  <c r="D57" i="65"/>
  <c r="D56" i="65"/>
  <c r="D61" i="65" s="1"/>
  <c r="D27" i="65"/>
  <c r="D26" i="65"/>
  <c r="D15" i="65"/>
  <c r="E117" i="65"/>
  <c r="E34" i="65"/>
  <c r="E57" i="65"/>
  <c r="E56" i="65"/>
  <c r="E61" i="65" s="1"/>
  <c r="E27" i="65"/>
  <c r="E26" i="65"/>
  <c r="E15" i="65"/>
  <c r="F117" i="65"/>
  <c r="F34" i="65"/>
  <c r="F57" i="65"/>
  <c r="F56" i="65"/>
  <c r="F61" i="65" s="1"/>
  <c r="F27" i="65"/>
  <c r="F26" i="65"/>
  <c r="F15" i="65"/>
  <c r="G117" i="65"/>
  <c r="G34" i="65"/>
  <c r="G57" i="65"/>
  <c r="G56" i="65"/>
  <c r="G61" i="65" s="1"/>
  <c r="G27" i="65"/>
  <c r="G26" i="65"/>
  <c r="G15" i="65"/>
  <c r="H117" i="65"/>
  <c r="H34" i="65"/>
  <c r="H57" i="65"/>
  <c r="H56" i="65"/>
  <c r="H61" i="65" s="1"/>
  <c r="H27" i="65"/>
  <c r="H26" i="65"/>
  <c r="H15" i="65"/>
  <c r="I57" i="65"/>
  <c r="I56" i="65"/>
  <c r="I61" i="65" s="1"/>
  <c r="I15" i="65"/>
  <c r="I26" i="65"/>
  <c r="E2" i="65"/>
  <c r="I108" i="65"/>
  <c r="I117" i="65"/>
  <c r="D46" i="65"/>
  <c r="D70" i="65"/>
  <c r="G16" i="65"/>
  <c r="G18" i="65"/>
  <c r="G19" i="65"/>
  <c r="E10" i="65" l="1"/>
  <c r="L119" i="65"/>
  <c r="M119" i="65"/>
  <c r="J13" i="65"/>
  <c r="N119" i="65"/>
  <c r="O119" i="65" s="1"/>
  <c r="P119" i="65" s="1"/>
  <c r="I10" i="65"/>
  <c r="F10" i="65"/>
  <c r="L48" i="65"/>
  <c r="J17" i="65"/>
  <c r="J19" i="65"/>
  <c r="J27" i="65"/>
  <c r="J9" i="65"/>
  <c r="J10" i="65" s="1"/>
  <c r="J18" i="65"/>
  <c r="J16" i="65"/>
  <c r="J15" i="65"/>
  <c r="F65" i="65"/>
  <c r="F21" i="65" s="1"/>
  <c r="F20" i="65"/>
  <c r="D65" i="65"/>
  <c r="D21" i="65" s="1"/>
  <c r="D20" i="65"/>
  <c r="I65" i="65"/>
  <c r="I21" i="65" s="1"/>
  <c r="I20" i="65"/>
  <c r="J26" i="65"/>
  <c r="G65" i="65"/>
  <c r="G21" i="65" s="1"/>
  <c r="G20" i="65"/>
  <c r="H65" i="65"/>
  <c r="H21" i="65" s="1"/>
  <c r="H20" i="65"/>
  <c r="E65" i="65"/>
  <c r="E21" i="65" s="1"/>
  <c r="E20" i="65"/>
  <c r="N9" i="65"/>
  <c r="M48" i="65"/>
  <c r="E96" i="65"/>
  <c r="E70" i="65"/>
  <c r="E46" i="65"/>
  <c r="F2" i="65"/>
  <c r="J34" i="65"/>
  <c r="C65" i="65"/>
  <c r="C21" i="65" s="1"/>
  <c r="C20" i="65"/>
  <c r="G5" i="64" l="1"/>
  <c r="P6" i="66" s="1"/>
  <c r="H5" i="64"/>
  <c r="Q6" i="66" s="1"/>
  <c r="J21" i="65"/>
  <c r="J48" i="65"/>
  <c r="K48" i="65" s="1"/>
  <c r="L49" i="65"/>
  <c r="Q119" i="65"/>
  <c r="R119" i="65" s="1"/>
  <c r="J20" i="65"/>
  <c r="I98" i="65"/>
  <c r="I67" i="65"/>
  <c r="E98" i="65"/>
  <c r="E67" i="65"/>
  <c r="H98" i="65"/>
  <c r="H67" i="65"/>
  <c r="M49" i="65"/>
  <c r="O9" i="65"/>
  <c r="N48" i="65"/>
  <c r="I5" i="64" s="1"/>
  <c r="R6" i="66" s="1"/>
  <c r="C98" i="65"/>
  <c r="C67" i="65"/>
  <c r="F96" i="65"/>
  <c r="F70" i="65"/>
  <c r="F46" i="65"/>
  <c r="K2" i="65"/>
  <c r="F4" i="64" s="1"/>
  <c r="F47" i="64" s="1"/>
  <c r="G98" i="65"/>
  <c r="G67" i="65"/>
  <c r="D98" i="65"/>
  <c r="D67" i="65"/>
  <c r="J54" i="65"/>
  <c r="J49" i="65"/>
  <c r="J59" i="65"/>
  <c r="J52" i="65"/>
  <c r="F98" i="65"/>
  <c r="F67" i="65"/>
  <c r="J51" i="65" l="1"/>
  <c r="J53" i="65"/>
  <c r="K53" i="65" s="1"/>
  <c r="J55" i="65"/>
  <c r="K55" i="65" s="1"/>
  <c r="E5" i="64"/>
  <c r="J107" i="65"/>
  <c r="K107" i="65" s="1"/>
  <c r="K59" i="65"/>
  <c r="K19" i="65" s="1"/>
  <c r="E11" i="64"/>
  <c r="E74" i="64"/>
  <c r="K49" i="65"/>
  <c r="F5" i="64"/>
  <c r="O6" i="66" s="1"/>
  <c r="K51" i="65"/>
  <c r="E6" i="64"/>
  <c r="K54" i="65"/>
  <c r="F8" i="64" s="1"/>
  <c r="E8" i="64"/>
  <c r="K52" i="65"/>
  <c r="F7" i="64" s="1"/>
  <c r="E7" i="64"/>
  <c r="L2" i="65"/>
  <c r="G4" i="64" s="1"/>
  <c r="K96" i="65"/>
  <c r="K70" i="65"/>
  <c r="K46" i="65"/>
  <c r="N49" i="65"/>
  <c r="K16" i="65"/>
  <c r="L53" i="65"/>
  <c r="M53" i="65" s="1"/>
  <c r="N53" i="65" s="1"/>
  <c r="O53" i="65" s="1"/>
  <c r="P53" i="65" s="1"/>
  <c r="Q53" i="65" s="1"/>
  <c r="R53" i="65" s="1"/>
  <c r="G33" i="65"/>
  <c r="G32" i="65"/>
  <c r="P9" i="65"/>
  <c r="O48" i="65"/>
  <c r="J5" i="64" s="1"/>
  <c r="S6" i="66" s="1"/>
  <c r="J56" i="65"/>
  <c r="J57" i="65"/>
  <c r="J106" i="65"/>
  <c r="J99" i="65"/>
  <c r="D33" i="65"/>
  <c r="D32" i="65"/>
  <c r="C33" i="65"/>
  <c r="C32" i="65"/>
  <c r="H33" i="65"/>
  <c r="H32" i="65"/>
  <c r="E33" i="65"/>
  <c r="E32" i="65"/>
  <c r="I33" i="65"/>
  <c r="I32" i="65"/>
  <c r="K18" i="65"/>
  <c r="L55" i="65"/>
  <c r="M55" i="65" s="1"/>
  <c r="N55" i="65" s="1"/>
  <c r="O55" i="65" s="1"/>
  <c r="P55" i="65" s="1"/>
  <c r="Q55" i="65" s="1"/>
  <c r="R55" i="65" s="1"/>
  <c r="F33" i="65"/>
  <c r="F32" i="65"/>
  <c r="G47" i="64" l="1"/>
  <c r="E16" i="64"/>
  <c r="E9" i="64"/>
  <c r="E57" i="64" s="1"/>
  <c r="K99" i="65"/>
  <c r="E58" i="64"/>
  <c r="F6" i="64"/>
  <c r="F9" i="64" s="1"/>
  <c r="K13" i="65"/>
  <c r="K17" i="65"/>
  <c r="L17" i="65" s="1"/>
  <c r="M17" i="65" s="1"/>
  <c r="N17" i="65" s="1"/>
  <c r="N54" i="65" s="1"/>
  <c r="I8" i="64" s="1"/>
  <c r="K57" i="65"/>
  <c r="K15" i="65"/>
  <c r="K56" i="65"/>
  <c r="F11" i="64"/>
  <c r="F74" i="64"/>
  <c r="J32" i="65"/>
  <c r="L19" i="65"/>
  <c r="M19" i="65" s="1"/>
  <c r="L18" i="65"/>
  <c r="M18" i="65" s="1"/>
  <c r="N18" i="65" s="1"/>
  <c r="L16" i="65"/>
  <c r="M16" i="65" s="1"/>
  <c r="O49" i="65"/>
  <c r="K106" i="65"/>
  <c r="Q9" i="65"/>
  <c r="P48" i="65"/>
  <c r="K5" i="64" s="1"/>
  <c r="T6" i="66" s="1"/>
  <c r="M2" i="65"/>
  <c r="H4" i="64" s="1"/>
  <c r="L96" i="65"/>
  <c r="L70" i="65"/>
  <c r="L46" i="65"/>
  <c r="F57" i="64" l="1"/>
  <c r="O8" i="66"/>
  <c r="H47" i="64"/>
  <c r="F16" i="64"/>
  <c r="K27" i="65"/>
  <c r="L27" i="65" s="1"/>
  <c r="L99" i="65" s="1"/>
  <c r="F58" i="64"/>
  <c r="F59" i="64" s="1"/>
  <c r="F62" i="64"/>
  <c r="E62" i="64"/>
  <c r="E59" i="64"/>
  <c r="L54" i="65"/>
  <c r="G8" i="64" s="1"/>
  <c r="M59" i="65"/>
  <c r="O17" i="65"/>
  <c r="O54" i="65" s="1"/>
  <c r="J8" i="64" s="1"/>
  <c r="N19" i="65"/>
  <c r="N59" i="65" s="1"/>
  <c r="L59" i="65"/>
  <c r="N16" i="65"/>
  <c r="M54" i="65"/>
  <c r="H8" i="64" s="1"/>
  <c r="N2" i="65"/>
  <c r="I4" i="64" s="1"/>
  <c r="M96" i="65"/>
  <c r="M70" i="65"/>
  <c r="M46" i="65"/>
  <c r="O18" i="65"/>
  <c r="P18" i="65" s="1"/>
  <c r="P49" i="65"/>
  <c r="R9" i="65"/>
  <c r="R48" i="65" s="1"/>
  <c r="M5" i="64" s="1"/>
  <c r="V6" i="66" s="1"/>
  <c r="Q48" i="65"/>
  <c r="L5" i="64" s="1"/>
  <c r="U6" i="66" s="1"/>
  <c r="K26" i="65"/>
  <c r="M27" i="65"/>
  <c r="G58" i="64" l="1"/>
  <c r="I47" i="64"/>
  <c r="F66" i="64"/>
  <c r="O7" i="66" s="1"/>
  <c r="E66" i="64"/>
  <c r="P17" i="65"/>
  <c r="O16" i="65"/>
  <c r="G11" i="64"/>
  <c r="G74" i="64"/>
  <c r="I11" i="64"/>
  <c r="I74" i="64"/>
  <c r="H11" i="64"/>
  <c r="H74" i="64"/>
  <c r="R49" i="65"/>
  <c r="Q18" i="65"/>
  <c r="R18" i="65" s="1"/>
  <c r="Q49" i="65"/>
  <c r="M99" i="65"/>
  <c r="N27" i="65"/>
  <c r="O2" i="65"/>
  <c r="J4" i="64" s="1"/>
  <c r="N96" i="65"/>
  <c r="N70" i="65"/>
  <c r="N46" i="65"/>
  <c r="O19" i="65"/>
  <c r="J47" i="64" l="1"/>
  <c r="H58" i="64"/>
  <c r="Q17" i="65"/>
  <c r="P54" i="65"/>
  <c r="K8" i="64" s="1"/>
  <c r="P16" i="65"/>
  <c r="Q16" i="65" s="1"/>
  <c r="E72" i="64"/>
  <c r="F72" i="64"/>
  <c r="N99" i="65"/>
  <c r="O59" i="65"/>
  <c r="P19" i="65"/>
  <c r="P59" i="65" s="1"/>
  <c r="P2" i="65"/>
  <c r="K4" i="64" s="1"/>
  <c r="O96" i="65"/>
  <c r="O70" i="65"/>
  <c r="O46" i="65"/>
  <c r="O27" i="65"/>
  <c r="O99" i="65" s="1"/>
  <c r="I58" i="64" l="1"/>
  <c r="K47" i="64"/>
  <c r="J58" i="64"/>
  <c r="R16" i="65"/>
  <c r="R17" i="65"/>
  <c r="R54" i="65" s="1"/>
  <c r="M8" i="64" s="1"/>
  <c r="Q54" i="65"/>
  <c r="L8" i="64" s="1"/>
  <c r="K11" i="64"/>
  <c r="K74" i="64"/>
  <c r="J11" i="64"/>
  <c r="J74" i="64"/>
  <c r="P27" i="65"/>
  <c r="Q2" i="65"/>
  <c r="L4" i="64" s="1"/>
  <c r="P96" i="65"/>
  <c r="P70" i="65"/>
  <c r="P46" i="65"/>
  <c r="Q19" i="65"/>
  <c r="Q59" i="65" s="1"/>
  <c r="L47" i="64" l="1"/>
  <c r="L74" i="64"/>
  <c r="L11" i="64"/>
  <c r="P99" i="65"/>
  <c r="Q27" i="65"/>
  <c r="Q99" i="65" s="1"/>
  <c r="R2" i="65"/>
  <c r="M4" i="64" s="1"/>
  <c r="Q96" i="65"/>
  <c r="Q70" i="65"/>
  <c r="Q46" i="65"/>
  <c r="R19" i="65"/>
  <c r="R59" i="65" s="1"/>
  <c r="R27" i="65" l="1"/>
  <c r="R99" i="65" s="1"/>
  <c r="M58" i="64" s="1"/>
  <c r="L58" i="64"/>
  <c r="M47" i="64"/>
  <c r="K58" i="64"/>
  <c r="M74" i="64"/>
  <c r="M11" i="64"/>
  <c r="R96" i="65"/>
  <c r="R70" i="65"/>
  <c r="R46" i="65"/>
  <c r="J56" i="24" l="1"/>
  <c r="G56" i="24"/>
  <c r="D56" i="24"/>
  <c r="P56" i="17"/>
  <c r="J56" i="17"/>
  <c r="D56" i="17"/>
  <c r="J46" i="14"/>
  <c r="D46" i="14"/>
  <c r="J49" i="11"/>
  <c r="F49" i="11"/>
  <c r="E49" i="11"/>
  <c r="D49" i="11"/>
  <c r="F47" i="11"/>
  <c r="E47" i="11"/>
  <c r="F46" i="11"/>
  <c r="E46" i="11"/>
  <c r="F45" i="11"/>
  <c r="E45" i="11"/>
  <c r="F44" i="11"/>
  <c r="E44" i="11"/>
  <c r="F43" i="11"/>
  <c r="E43" i="11"/>
  <c r="F42" i="11"/>
  <c r="E42" i="11"/>
  <c r="F41" i="11"/>
  <c r="E41" i="11"/>
  <c r="F40" i="11"/>
  <c r="E40" i="11"/>
  <c r="F39" i="11"/>
  <c r="E39" i="11"/>
  <c r="F38" i="11"/>
  <c r="E38" i="11"/>
  <c r="F37" i="11"/>
  <c r="E37" i="11"/>
  <c r="F36" i="11"/>
  <c r="E36" i="11"/>
  <c r="F35" i="11"/>
  <c r="E35" i="11"/>
  <c r="F34" i="11"/>
  <c r="E34" i="11"/>
  <c r="F33" i="11"/>
  <c r="E33" i="11"/>
  <c r="F32" i="11"/>
  <c r="E32" i="11"/>
  <c r="F31" i="11"/>
  <c r="E31" i="11"/>
  <c r="F30" i="11"/>
  <c r="E30" i="11"/>
  <c r="F29" i="11"/>
  <c r="E29" i="11"/>
  <c r="F28" i="11"/>
  <c r="F27" i="11"/>
  <c r="E27" i="11"/>
  <c r="F26" i="11"/>
  <c r="E26" i="11"/>
  <c r="F25" i="11"/>
  <c r="E25" i="11"/>
  <c r="F24" i="11"/>
  <c r="E24" i="11"/>
  <c r="F23" i="11"/>
  <c r="E23" i="11"/>
  <c r="F22" i="11"/>
  <c r="E22" i="11"/>
  <c r="F21" i="11"/>
  <c r="E21" i="11"/>
  <c r="F20" i="11"/>
  <c r="E20" i="11"/>
  <c r="F19" i="11"/>
  <c r="E19" i="11"/>
  <c r="F18" i="11"/>
  <c r="E18" i="11"/>
  <c r="F17" i="11"/>
  <c r="E17" i="11"/>
  <c r="F16" i="11"/>
  <c r="E16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J51" i="8"/>
  <c r="F51" i="8"/>
  <c r="E51" i="8"/>
  <c r="D51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J36" i="23"/>
  <c r="G36" i="23"/>
  <c r="D36" i="23"/>
  <c r="J36" i="19"/>
  <c r="G36" i="19"/>
  <c r="D36" i="19"/>
  <c r="P33" i="16"/>
  <c r="J33" i="16"/>
  <c r="D33" i="16"/>
  <c r="J32" i="13"/>
  <c r="D32" i="13"/>
  <c r="V32" i="10"/>
  <c r="P32" i="10"/>
  <c r="J32" i="10"/>
  <c r="D32" i="10"/>
  <c r="V32" i="7"/>
  <c r="P32" i="7"/>
  <c r="J32" i="7"/>
  <c r="D32" i="7"/>
  <c r="F49" i="22"/>
  <c r="C49" i="22"/>
  <c r="F49" i="18"/>
  <c r="C49" i="18"/>
  <c r="J45" i="15"/>
  <c r="D45" i="15"/>
  <c r="J46" i="12"/>
  <c r="D46" i="12"/>
  <c r="J46" i="9"/>
  <c r="D46" i="9"/>
  <c r="J46" i="6"/>
  <c r="D46" i="6"/>
  <c r="I59" i="37"/>
  <c r="H59" i="37"/>
  <c r="G59" i="37"/>
  <c r="F59" i="37"/>
  <c r="E59" i="37"/>
  <c r="D59" i="37"/>
  <c r="C59" i="37"/>
  <c r="I56" i="37"/>
  <c r="H56" i="37"/>
  <c r="G56" i="37"/>
  <c r="F56" i="37"/>
  <c r="E56" i="37"/>
  <c r="D56" i="37"/>
  <c r="C56" i="37"/>
  <c r="I55" i="37"/>
  <c r="H55" i="37"/>
  <c r="G55" i="37"/>
  <c r="F55" i="37"/>
  <c r="E55" i="37"/>
  <c r="D55" i="37"/>
  <c r="C55" i="37"/>
  <c r="I54" i="37"/>
  <c r="H54" i="37"/>
  <c r="G54" i="37"/>
  <c r="F54" i="37"/>
  <c r="E54" i="37"/>
  <c r="D54" i="37"/>
  <c r="C54" i="37"/>
  <c r="I53" i="37"/>
  <c r="H53" i="37"/>
  <c r="G53" i="37"/>
  <c r="F53" i="37"/>
  <c r="E53" i="37"/>
  <c r="D53" i="37"/>
  <c r="C53" i="37"/>
  <c r="I52" i="37"/>
  <c r="H52" i="37"/>
  <c r="G52" i="37"/>
  <c r="F52" i="37"/>
  <c r="E52" i="37"/>
  <c r="D52" i="37"/>
  <c r="C52" i="37"/>
  <c r="I51" i="37"/>
  <c r="H51" i="37"/>
  <c r="G51" i="37"/>
  <c r="F51" i="37"/>
  <c r="E51" i="37"/>
  <c r="D51" i="37"/>
  <c r="C51" i="37"/>
  <c r="I50" i="37"/>
  <c r="H50" i="37"/>
  <c r="G50" i="37"/>
  <c r="F50" i="37"/>
  <c r="E50" i="37"/>
  <c r="D50" i="37"/>
  <c r="C50" i="37"/>
  <c r="I49" i="37"/>
  <c r="H49" i="37"/>
  <c r="G49" i="37"/>
  <c r="F49" i="37"/>
  <c r="E49" i="37"/>
  <c r="D49" i="37"/>
  <c r="C49" i="37"/>
  <c r="I48" i="37"/>
  <c r="H48" i="37"/>
  <c r="G48" i="37"/>
  <c r="F48" i="37"/>
  <c r="E48" i="37"/>
  <c r="D48" i="37"/>
  <c r="C48" i="37"/>
  <c r="I47" i="37"/>
  <c r="H47" i="37"/>
  <c r="G47" i="37"/>
  <c r="F47" i="37"/>
  <c r="E47" i="37"/>
  <c r="D47" i="37"/>
  <c r="C47" i="37"/>
  <c r="I46" i="37"/>
  <c r="H46" i="37"/>
  <c r="G46" i="37"/>
  <c r="F46" i="37"/>
  <c r="E46" i="37"/>
  <c r="D46" i="37"/>
  <c r="C46" i="37"/>
  <c r="I45" i="37"/>
  <c r="H45" i="37"/>
  <c r="G45" i="37"/>
  <c r="F45" i="37"/>
  <c r="D45" i="37"/>
  <c r="C45" i="37"/>
  <c r="I44" i="37"/>
  <c r="H44" i="37"/>
  <c r="G44" i="37"/>
  <c r="D44" i="37"/>
  <c r="C44" i="37"/>
  <c r="I43" i="37"/>
  <c r="H43" i="37"/>
  <c r="G43" i="37"/>
  <c r="D43" i="37"/>
  <c r="C43" i="37"/>
  <c r="I42" i="37"/>
  <c r="H42" i="37"/>
  <c r="G42" i="37"/>
  <c r="F42" i="37"/>
  <c r="E42" i="37"/>
  <c r="D42" i="37"/>
  <c r="C42" i="37"/>
  <c r="I41" i="37"/>
  <c r="H41" i="37"/>
  <c r="G41" i="37"/>
  <c r="F41" i="37"/>
  <c r="E41" i="37"/>
  <c r="D41" i="37"/>
  <c r="C41" i="37"/>
  <c r="I40" i="37"/>
  <c r="H40" i="37"/>
  <c r="G40" i="37"/>
  <c r="F40" i="37"/>
  <c r="E40" i="37"/>
  <c r="D40" i="37"/>
  <c r="C40" i="37"/>
  <c r="I39" i="37"/>
  <c r="H39" i="37"/>
  <c r="G39" i="37"/>
  <c r="F39" i="37"/>
  <c r="E39" i="37"/>
  <c r="D39" i="37"/>
  <c r="C39" i="37"/>
  <c r="D38" i="37"/>
  <c r="C38" i="37"/>
  <c r="I37" i="37"/>
  <c r="H37" i="37"/>
  <c r="G37" i="37"/>
  <c r="F37" i="37"/>
  <c r="E37" i="37"/>
  <c r="D37" i="37"/>
  <c r="C37" i="37"/>
  <c r="I36" i="37"/>
  <c r="H36" i="37"/>
  <c r="G36" i="37"/>
  <c r="F36" i="37"/>
  <c r="E36" i="37"/>
  <c r="D36" i="37"/>
  <c r="C36" i="37"/>
  <c r="I34" i="37"/>
  <c r="H34" i="37"/>
  <c r="G34" i="37"/>
  <c r="F34" i="37"/>
  <c r="E34" i="37"/>
  <c r="D34" i="37"/>
  <c r="C34" i="37"/>
  <c r="I33" i="37"/>
  <c r="H33" i="37"/>
  <c r="G33" i="37"/>
  <c r="E33" i="37"/>
  <c r="D33" i="37"/>
  <c r="C33" i="37"/>
  <c r="I32" i="37"/>
  <c r="H32" i="37"/>
  <c r="F32" i="37"/>
  <c r="E32" i="37"/>
  <c r="D32" i="37"/>
  <c r="C32" i="37"/>
  <c r="I31" i="37"/>
  <c r="H31" i="37"/>
  <c r="G31" i="37"/>
  <c r="F31" i="37"/>
  <c r="E31" i="37"/>
  <c r="I30" i="37"/>
  <c r="H30" i="37"/>
  <c r="G30" i="37"/>
  <c r="F30" i="37"/>
  <c r="E30" i="37"/>
  <c r="D30" i="37"/>
  <c r="C30" i="37"/>
  <c r="I28" i="37"/>
  <c r="H28" i="37"/>
  <c r="G28" i="37"/>
  <c r="F28" i="37"/>
  <c r="E28" i="37"/>
  <c r="D28" i="37"/>
  <c r="C28" i="37"/>
  <c r="I27" i="37"/>
  <c r="H27" i="37"/>
  <c r="G27" i="37"/>
  <c r="F27" i="37"/>
  <c r="E27" i="37"/>
  <c r="D27" i="37"/>
  <c r="C27" i="37"/>
  <c r="I26" i="37"/>
  <c r="H26" i="37"/>
  <c r="G26" i="37"/>
  <c r="F26" i="37"/>
  <c r="E26" i="37"/>
  <c r="D26" i="37"/>
  <c r="C26" i="37"/>
  <c r="I25" i="37"/>
  <c r="H25" i="37"/>
  <c r="G25" i="37"/>
  <c r="F25" i="37"/>
  <c r="E25" i="37"/>
  <c r="D25" i="37"/>
  <c r="C25" i="37"/>
  <c r="I24" i="37"/>
  <c r="H24" i="37"/>
  <c r="G24" i="37"/>
  <c r="F24" i="37"/>
  <c r="E24" i="37"/>
  <c r="D24" i="37"/>
  <c r="C24" i="37"/>
  <c r="I23" i="37"/>
  <c r="H23" i="37"/>
  <c r="G23" i="37"/>
  <c r="F23" i="37"/>
  <c r="E23" i="37"/>
  <c r="D23" i="37"/>
  <c r="C23" i="37"/>
  <c r="I22" i="37"/>
  <c r="H22" i="37"/>
  <c r="G22" i="37"/>
  <c r="F22" i="37"/>
  <c r="E22" i="37"/>
  <c r="D22" i="37"/>
  <c r="C22" i="37"/>
  <c r="I21" i="37"/>
  <c r="I101" i="65" s="1"/>
  <c r="H21" i="37"/>
  <c r="H101" i="65" s="1"/>
  <c r="G21" i="37"/>
  <c r="G101" i="65" s="1"/>
  <c r="F21" i="37"/>
  <c r="F101" i="65" s="1"/>
  <c r="E21" i="37"/>
  <c r="E101" i="65" s="1"/>
  <c r="D21" i="37"/>
  <c r="D101" i="65" s="1"/>
  <c r="C21" i="37"/>
  <c r="C101" i="65" s="1"/>
  <c r="I20" i="37"/>
  <c r="H20" i="37"/>
  <c r="G20" i="37"/>
  <c r="F20" i="37"/>
  <c r="E20" i="37"/>
  <c r="D20" i="37"/>
  <c r="C20" i="37"/>
  <c r="I19" i="37"/>
  <c r="I100" i="65" s="1"/>
  <c r="H19" i="37"/>
  <c r="H100" i="65" s="1"/>
  <c r="G19" i="37"/>
  <c r="G100" i="65" s="1"/>
  <c r="F19" i="37"/>
  <c r="F100" i="65" s="1"/>
  <c r="E19" i="37"/>
  <c r="E100" i="65" s="1"/>
  <c r="D19" i="37"/>
  <c r="D100" i="65" s="1"/>
  <c r="C19" i="37"/>
  <c r="C100" i="65" s="1"/>
  <c r="I18" i="37"/>
  <c r="H18" i="37"/>
  <c r="G18" i="37"/>
  <c r="F18" i="37"/>
  <c r="E18" i="37"/>
  <c r="D18" i="37"/>
  <c r="C18" i="37"/>
  <c r="I17" i="37"/>
  <c r="H17" i="37"/>
  <c r="G17" i="37"/>
  <c r="F17" i="37"/>
  <c r="E17" i="37"/>
  <c r="D17" i="37"/>
  <c r="C17" i="37"/>
  <c r="I16" i="37"/>
  <c r="H16" i="37"/>
  <c r="G16" i="37"/>
  <c r="F16" i="37"/>
  <c r="E16" i="37"/>
  <c r="D16" i="37"/>
  <c r="C16" i="37"/>
  <c r="I15" i="37"/>
  <c r="H15" i="37"/>
  <c r="G15" i="37"/>
  <c r="D15" i="37"/>
  <c r="I14" i="37"/>
  <c r="H14" i="37"/>
  <c r="G14" i="37"/>
  <c r="D14" i="37"/>
  <c r="I13" i="37"/>
  <c r="H13" i="37"/>
  <c r="G13" i="37"/>
  <c r="E13" i="37"/>
  <c r="D13" i="37"/>
  <c r="C13" i="37"/>
  <c r="I12" i="37"/>
  <c r="H12" i="37"/>
  <c r="G12" i="37"/>
  <c r="F12" i="37"/>
  <c r="E12" i="37"/>
  <c r="D12" i="37"/>
  <c r="C12" i="37"/>
  <c r="I11" i="37"/>
  <c r="H11" i="37"/>
  <c r="G11" i="37"/>
  <c r="F11" i="37"/>
  <c r="E11" i="37"/>
  <c r="D11" i="37"/>
  <c r="C11" i="37"/>
  <c r="I10" i="37"/>
  <c r="H10" i="37"/>
  <c r="G10" i="37"/>
  <c r="F10" i="37"/>
  <c r="E10" i="37"/>
  <c r="D10" i="37"/>
  <c r="C10" i="37"/>
  <c r="I9" i="37"/>
  <c r="H9" i="37"/>
  <c r="G9" i="37"/>
  <c r="F9" i="37"/>
  <c r="E9" i="37"/>
  <c r="D9" i="37"/>
  <c r="C9" i="37"/>
  <c r="I8" i="37"/>
  <c r="H8" i="37"/>
  <c r="G8" i="37"/>
  <c r="F8" i="37"/>
  <c r="E8" i="37"/>
  <c r="D8" i="37"/>
  <c r="C8" i="37"/>
  <c r="I7" i="37"/>
  <c r="H7" i="37"/>
  <c r="G7" i="37"/>
  <c r="F7" i="37"/>
  <c r="E7" i="37"/>
  <c r="D7" i="37"/>
  <c r="C7" i="37"/>
  <c r="I6" i="37"/>
  <c r="H6" i="37"/>
  <c r="G6" i="37"/>
  <c r="F6" i="37"/>
  <c r="E6" i="37"/>
  <c r="D6" i="37"/>
  <c r="C6" i="37"/>
  <c r="I40" i="28"/>
  <c r="H40" i="28"/>
  <c r="G40" i="28"/>
  <c r="F40" i="28"/>
  <c r="E40" i="28"/>
  <c r="D40" i="28"/>
  <c r="C40" i="28"/>
  <c r="I39" i="28"/>
  <c r="H39" i="28"/>
  <c r="G39" i="28"/>
  <c r="F39" i="28"/>
  <c r="E39" i="28"/>
  <c r="D39" i="28"/>
  <c r="C39" i="28"/>
  <c r="I38" i="28"/>
  <c r="H38" i="28"/>
  <c r="G38" i="28"/>
  <c r="F38" i="28"/>
  <c r="E38" i="28"/>
  <c r="D38" i="28"/>
  <c r="C38" i="28"/>
  <c r="J36" i="28"/>
  <c r="I36" i="28"/>
  <c r="H36" i="28"/>
  <c r="G36" i="28"/>
  <c r="F36" i="28"/>
  <c r="E36" i="28"/>
  <c r="D36" i="28"/>
  <c r="C36" i="28"/>
  <c r="J35" i="28"/>
  <c r="I35" i="28"/>
  <c r="H35" i="28"/>
  <c r="G35" i="28"/>
  <c r="F35" i="28"/>
  <c r="E35" i="28"/>
  <c r="D35" i="28"/>
  <c r="C35" i="28"/>
  <c r="J34" i="28"/>
  <c r="I34" i="28"/>
  <c r="H34" i="28"/>
  <c r="G34" i="28"/>
  <c r="F34" i="28"/>
  <c r="E34" i="28"/>
  <c r="D34" i="28"/>
  <c r="C34" i="28"/>
  <c r="J33" i="28"/>
  <c r="I33" i="28"/>
  <c r="H33" i="28"/>
  <c r="G33" i="28"/>
  <c r="F33" i="28"/>
  <c r="E33" i="28"/>
  <c r="D33" i="28"/>
  <c r="C33" i="28"/>
  <c r="J32" i="28"/>
  <c r="I32" i="28"/>
  <c r="H32" i="28"/>
  <c r="G32" i="28"/>
  <c r="F32" i="28"/>
  <c r="E32" i="28"/>
  <c r="D32" i="28"/>
  <c r="C32" i="28"/>
  <c r="J31" i="28"/>
  <c r="I31" i="28"/>
  <c r="H31" i="28"/>
  <c r="G31" i="28"/>
  <c r="F31" i="28"/>
  <c r="E31" i="28"/>
  <c r="D31" i="28"/>
  <c r="C31" i="28"/>
  <c r="J30" i="28"/>
  <c r="I30" i="28"/>
  <c r="H30" i="28"/>
  <c r="G30" i="28"/>
  <c r="F30" i="28"/>
  <c r="E30" i="28"/>
  <c r="D30" i="28"/>
  <c r="C30" i="28"/>
  <c r="I29" i="28"/>
  <c r="H29" i="28"/>
  <c r="G29" i="28"/>
  <c r="F29" i="28"/>
  <c r="E29" i="28"/>
  <c r="D29" i="28"/>
  <c r="C29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I26" i="28"/>
  <c r="H26" i="28"/>
  <c r="G26" i="28"/>
  <c r="F26" i="28"/>
  <c r="E26" i="28"/>
  <c r="D26" i="28"/>
  <c r="C26" i="28"/>
  <c r="I25" i="28"/>
  <c r="H25" i="28"/>
  <c r="G25" i="28"/>
  <c r="F25" i="28"/>
  <c r="E25" i="28"/>
  <c r="D25" i="28"/>
  <c r="C25" i="28"/>
  <c r="J24" i="28"/>
  <c r="I24" i="28"/>
  <c r="H24" i="28"/>
  <c r="G24" i="28"/>
  <c r="F24" i="28"/>
  <c r="E24" i="28"/>
  <c r="D24" i="28"/>
  <c r="C24" i="28"/>
  <c r="I23" i="28"/>
  <c r="H23" i="28"/>
  <c r="G23" i="28"/>
  <c r="F23" i="28"/>
  <c r="E23" i="28"/>
  <c r="D23" i="28"/>
  <c r="C23" i="28"/>
  <c r="I22" i="28"/>
  <c r="H22" i="28"/>
  <c r="G22" i="28"/>
  <c r="F22" i="28"/>
  <c r="E22" i="28"/>
  <c r="D22" i="28"/>
  <c r="C22" i="28"/>
  <c r="Q21" i="28"/>
  <c r="P21" i="28"/>
  <c r="O21" i="28"/>
  <c r="N21" i="28"/>
  <c r="M21" i="28"/>
  <c r="L21" i="28"/>
  <c r="K21" i="28"/>
  <c r="J21" i="28"/>
  <c r="J21" i="28" a="1"/>
  <c r="I21" i="28"/>
  <c r="H21" i="28"/>
  <c r="G21" i="28"/>
  <c r="F21" i="28"/>
  <c r="E21" i="28"/>
  <c r="D21" i="28"/>
  <c r="C21" i="28"/>
  <c r="Q20" i="28"/>
  <c r="P20" i="28"/>
  <c r="O20" i="28"/>
  <c r="N20" i="28"/>
  <c r="M20" i="28"/>
  <c r="L20" i="28"/>
  <c r="K20" i="28"/>
  <c r="J20" i="28"/>
  <c r="J20" i="28" a="1"/>
  <c r="I20" i="28"/>
  <c r="H20" i="28"/>
  <c r="G20" i="28"/>
  <c r="F20" i="28"/>
  <c r="E20" i="28"/>
  <c r="D20" i="28"/>
  <c r="C20" i="28"/>
  <c r="I19" i="28"/>
  <c r="H19" i="28"/>
  <c r="G19" i="28"/>
  <c r="F19" i="28"/>
  <c r="E19" i="28"/>
  <c r="D19" i="28"/>
  <c r="C19" i="28"/>
  <c r="I18" i="28"/>
  <c r="H18" i="28"/>
  <c r="G18" i="28"/>
  <c r="F18" i="28"/>
  <c r="E18" i="28"/>
  <c r="D18" i="28"/>
  <c r="C18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M15" i="28"/>
  <c r="L15" i="28"/>
  <c r="K15" i="28"/>
  <c r="J15" i="28"/>
  <c r="I15" i="28"/>
  <c r="H15" i="28"/>
  <c r="G15" i="28"/>
  <c r="F15" i="28"/>
  <c r="E15" i="28"/>
  <c r="D15" i="28"/>
  <c r="C15" i="28"/>
  <c r="I14" i="28"/>
  <c r="H14" i="28"/>
  <c r="G14" i="28"/>
  <c r="E14" i="28"/>
  <c r="D14" i="28"/>
  <c r="C14" i="28"/>
  <c r="Q13" i="28"/>
  <c r="P13" i="28"/>
  <c r="O13" i="28"/>
  <c r="N13" i="28"/>
  <c r="M13" i="28"/>
  <c r="L13" i="28"/>
  <c r="K13" i="28"/>
  <c r="J13" i="28"/>
  <c r="J13" i="28" a="1"/>
  <c r="I13" i="28"/>
  <c r="H13" i="28"/>
  <c r="G13" i="28"/>
  <c r="F13" i="28"/>
  <c r="E13" i="28"/>
  <c r="D13" i="28"/>
  <c r="C13" i="28"/>
  <c r="I12" i="28"/>
  <c r="H12" i="28"/>
  <c r="G12" i="28"/>
  <c r="D12" i="28"/>
  <c r="M11" i="28"/>
  <c r="L11" i="28"/>
  <c r="K11" i="28"/>
  <c r="J11" i="28"/>
  <c r="J11" i="28" a="1"/>
  <c r="I11" i="28"/>
  <c r="H11" i="28"/>
  <c r="G11" i="28"/>
  <c r="F11" i="28"/>
  <c r="E11" i="28"/>
  <c r="D11" i="28"/>
  <c r="C11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M8" i="28"/>
  <c r="L8" i="28"/>
  <c r="K8" i="28"/>
  <c r="J8" i="28"/>
  <c r="I8" i="28"/>
  <c r="H8" i="28"/>
  <c r="G8" i="28"/>
  <c r="F8" i="28"/>
  <c r="E8" i="28"/>
  <c r="D8" i="28"/>
  <c r="C8" i="28"/>
  <c r="M7" i="28"/>
  <c r="L7" i="28"/>
  <c r="K7" i="28"/>
  <c r="J7" i="28"/>
  <c r="I7" i="28"/>
  <c r="H7" i="28"/>
  <c r="G7" i="28"/>
  <c r="F7" i="28"/>
  <c r="E7" i="28"/>
  <c r="D7" i="28"/>
  <c r="C7" i="28"/>
  <c r="N6" i="28"/>
  <c r="M6" i="28"/>
  <c r="J6" i="28"/>
  <c r="J6" i="28" a="1"/>
  <c r="I6" i="28"/>
  <c r="H6" i="28"/>
  <c r="G6" i="28"/>
  <c r="F6" i="28"/>
  <c r="E6" i="28"/>
  <c r="D6" i="28"/>
  <c r="C6" i="28"/>
  <c r="M4" i="28"/>
  <c r="L4" i="28"/>
  <c r="K4" i="28"/>
  <c r="J4" i="28"/>
  <c r="I46" i="25"/>
  <c r="H46" i="25"/>
  <c r="G46" i="25"/>
  <c r="F46" i="25"/>
  <c r="E46" i="25"/>
  <c r="D46" i="25"/>
  <c r="C46" i="25"/>
  <c r="I43" i="25"/>
  <c r="H43" i="25"/>
  <c r="G43" i="25"/>
  <c r="F43" i="25"/>
  <c r="E43" i="25"/>
  <c r="D43" i="25"/>
  <c r="C43" i="25"/>
  <c r="I42" i="25"/>
  <c r="H42" i="25"/>
  <c r="G42" i="25"/>
  <c r="F42" i="25"/>
  <c r="E42" i="25"/>
  <c r="D42" i="25"/>
  <c r="C42" i="25"/>
  <c r="I41" i="25"/>
  <c r="I89" i="65" s="1"/>
  <c r="H41" i="25"/>
  <c r="H89" i="65" s="1"/>
  <c r="G41" i="25"/>
  <c r="G89" i="65" s="1"/>
  <c r="F41" i="25"/>
  <c r="E41" i="25"/>
  <c r="D41" i="25"/>
  <c r="D89" i="65" s="1"/>
  <c r="C41" i="25"/>
  <c r="I40" i="25"/>
  <c r="H40" i="25"/>
  <c r="H88" i="65" s="1"/>
  <c r="G40" i="25"/>
  <c r="G88" i="65" s="1"/>
  <c r="F40" i="25"/>
  <c r="F88" i="65" s="1"/>
  <c r="E40" i="25"/>
  <c r="E88" i="65" s="1"/>
  <c r="D40" i="25"/>
  <c r="D88" i="65" s="1"/>
  <c r="C40" i="25"/>
  <c r="I39" i="25"/>
  <c r="H39" i="25"/>
  <c r="G39" i="25"/>
  <c r="F39" i="25"/>
  <c r="E39" i="25"/>
  <c r="D39" i="25"/>
  <c r="C39" i="25"/>
  <c r="I38" i="25"/>
  <c r="H38" i="25"/>
  <c r="G38" i="25"/>
  <c r="F38" i="25"/>
  <c r="E38" i="25"/>
  <c r="D38" i="25"/>
  <c r="C38" i="25"/>
  <c r="I37" i="25"/>
  <c r="H37" i="25"/>
  <c r="G37" i="25"/>
  <c r="F37" i="25"/>
  <c r="E37" i="25"/>
  <c r="D37" i="25"/>
  <c r="C37" i="25"/>
  <c r="I36" i="25"/>
  <c r="H36" i="25"/>
  <c r="G36" i="25"/>
  <c r="F36" i="25"/>
  <c r="E36" i="25"/>
  <c r="D36" i="25"/>
  <c r="C36" i="25"/>
  <c r="F35" i="25"/>
  <c r="E35" i="25"/>
  <c r="D35" i="25"/>
  <c r="C35" i="25"/>
  <c r="I34" i="25"/>
  <c r="H34" i="25"/>
  <c r="G34" i="25"/>
  <c r="F34" i="25"/>
  <c r="E34" i="25"/>
  <c r="D34" i="25"/>
  <c r="C34" i="25"/>
  <c r="I32" i="25"/>
  <c r="H32" i="25"/>
  <c r="G32" i="25"/>
  <c r="F32" i="25"/>
  <c r="E32" i="25"/>
  <c r="D32" i="25"/>
  <c r="C32" i="25"/>
  <c r="I31" i="25"/>
  <c r="H31" i="25"/>
  <c r="G31" i="25"/>
  <c r="F31" i="25"/>
  <c r="E31" i="25"/>
  <c r="D31" i="25"/>
  <c r="C31" i="25"/>
  <c r="I30" i="25"/>
  <c r="H30" i="25"/>
  <c r="G30" i="25"/>
  <c r="F30" i="25"/>
  <c r="E30" i="25"/>
  <c r="D30" i="25"/>
  <c r="C30" i="25"/>
  <c r="I29" i="25"/>
  <c r="H29" i="25"/>
  <c r="G29" i="25"/>
  <c r="F29" i="25"/>
  <c r="E29" i="25"/>
  <c r="D29" i="25"/>
  <c r="C29" i="25"/>
  <c r="I28" i="25"/>
  <c r="H28" i="25"/>
  <c r="G28" i="25"/>
  <c r="F28" i="25"/>
  <c r="E28" i="25"/>
  <c r="D28" i="25"/>
  <c r="I27" i="25"/>
  <c r="H27" i="25"/>
  <c r="G27" i="25"/>
  <c r="F27" i="25"/>
  <c r="E27" i="25"/>
  <c r="D27" i="25"/>
  <c r="C27" i="25"/>
  <c r="C85" i="65" s="1"/>
  <c r="I26" i="25"/>
  <c r="H26" i="25"/>
  <c r="G26" i="25"/>
  <c r="F26" i="25"/>
  <c r="E26" i="25"/>
  <c r="D26" i="25"/>
  <c r="C26" i="25"/>
  <c r="I25" i="25"/>
  <c r="I83" i="65" s="1"/>
  <c r="H25" i="25"/>
  <c r="H83" i="65" s="1"/>
  <c r="G25" i="25"/>
  <c r="G83" i="65" s="1"/>
  <c r="F25" i="25"/>
  <c r="F83" i="65" s="1"/>
  <c r="E25" i="25"/>
  <c r="E83" i="65" s="1"/>
  <c r="D25" i="25"/>
  <c r="D83" i="65" s="1"/>
  <c r="C25" i="25"/>
  <c r="C83" i="65" s="1"/>
  <c r="I24" i="25"/>
  <c r="H24" i="25"/>
  <c r="G24" i="25"/>
  <c r="F24" i="25"/>
  <c r="E24" i="25"/>
  <c r="D24" i="25"/>
  <c r="C24" i="25"/>
  <c r="I23" i="25"/>
  <c r="H23" i="25"/>
  <c r="G23" i="25"/>
  <c r="F23" i="25"/>
  <c r="E23" i="25"/>
  <c r="D23" i="25"/>
  <c r="C23" i="25"/>
  <c r="I22" i="25"/>
  <c r="H22" i="25"/>
  <c r="G22" i="25"/>
  <c r="F22" i="25"/>
  <c r="E22" i="25"/>
  <c r="D22" i="25"/>
  <c r="C22" i="25"/>
  <c r="I21" i="25"/>
  <c r="H21" i="25"/>
  <c r="G21" i="25"/>
  <c r="F21" i="25"/>
  <c r="E21" i="25"/>
  <c r="D21" i="25"/>
  <c r="C21" i="25"/>
  <c r="I20" i="25"/>
  <c r="H20" i="25"/>
  <c r="G20" i="25"/>
  <c r="F20" i="25"/>
  <c r="E20" i="25"/>
  <c r="D20" i="25"/>
  <c r="C20" i="25"/>
  <c r="I19" i="25"/>
  <c r="H19" i="25"/>
  <c r="G19" i="25"/>
  <c r="F19" i="25"/>
  <c r="E19" i="25"/>
  <c r="D19" i="25"/>
  <c r="C19" i="25"/>
  <c r="I18" i="25"/>
  <c r="H18" i="25"/>
  <c r="G18" i="25"/>
  <c r="F18" i="25"/>
  <c r="E18" i="25"/>
  <c r="D18" i="25"/>
  <c r="C18" i="25"/>
  <c r="I17" i="25"/>
  <c r="H17" i="25"/>
  <c r="G17" i="25"/>
  <c r="F17" i="25"/>
  <c r="E17" i="25"/>
  <c r="D17" i="25"/>
  <c r="C17" i="25"/>
  <c r="I16" i="25"/>
  <c r="H16" i="25"/>
  <c r="H77" i="65" s="1"/>
  <c r="G16" i="25"/>
  <c r="F16" i="25"/>
  <c r="E16" i="25"/>
  <c r="E77" i="65" s="1"/>
  <c r="D16" i="25"/>
  <c r="D77" i="65" s="1"/>
  <c r="C16" i="25"/>
  <c r="I15" i="25"/>
  <c r="I76" i="65" s="1"/>
  <c r="H15" i="25"/>
  <c r="H76" i="65" s="1"/>
  <c r="G15" i="25"/>
  <c r="F15" i="25"/>
  <c r="E15" i="25"/>
  <c r="E76" i="65" s="1"/>
  <c r="D15" i="25"/>
  <c r="D76" i="65" s="1"/>
  <c r="C15" i="25"/>
  <c r="C76" i="65" s="1"/>
  <c r="I14" i="25"/>
  <c r="H14" i="25"/>
  <c r="G14" i="25"/>
  <c r="F14" i="25"/>
  <c r="E14" i="25"/>
  <c r="D14" i="25"/>
  <c r="C14" i="25"/>
  <c r="I13" i="25"/>
  <c r="H13" i="25"/>
  <c r="G13" i="25"/>
  <c r="F13" i="25"/>
  <c r="E13" i="25"/>
  <c r="D13" i="25"/>
  <c r="C13" i="25"/>
  <c r="I12" i="25"/>
  <c r="I75" i="65" s="1"/>
  <c r="H12" i="25"/>
  <c r="G12" i="25"/>
  <c r="F12" i="25"/>
  <c r="E12" i="25"/>
  <c r="E75" i="65" s="1"/>
  <c r="D12" i="25"/>
  <c r="C12" i="25"/>
  <c r="I11" i="25"/>
  <c r="H11" i="25"/>
  <c r="G11" i="25"/>
  <c r="F11" i="25"/>
  <c r="E11" i="25"/>
  <c r="D11" i="25"/>
  <c r="C11" i="25"/>
  <c r="I10" i="25"/>
  <c r="H10" i="25"/>
  <c r="G10" i="25"/>
  <c r="F10" i="25"/>
  <c r="E10" i="25"/>
  <c r="D10" i="25"/>
  <c r="C10" i="25"/>
  <c r="I9" i="25"/>
  <c r="H9" i="25"/>
  <c r="G9" i="25"/>
  <c r="F9" i="25"/>
  <c r="E9" i="25"/>
  <c r="D9" i="25"/>
  <c r="C9" i="25"/>
  <c r="I8" i="25"/>
  <c r="H8" i="25"/>
  <c r="G8" i="25"/>
  <c r="F8" i="25"/>
  <c r="E8" i="25"/>
  <c r="D8" i="25"/>
  <c r="C8" i="25"/>
  <c r="I7" i="25"/>
  <c r="I50" i="25" s="1"/>
  <c r="H7" i="25"/>
  <c r="H49" i="25" s="1"/>
  <c r="H50" i="25" s="1"/>
  <c r="G7" i="25"/>
  <c r="G49" i="25" s="1"/>
  <c r="G50" i="25" s="1"/>
  <c r="F7" i="25"/>
  <c r="F49" i="25" s="1"/>
  <c r="F50" i="25" s="1"/>
  <c r="E7" i="25"/>
  <c r="E49" i="25" s="1"/>
  <c r="E50" i="25" s="1"/>
  <c r="D7" i="25"/>
  <c r="D49" i="25" s="1"/>
  <c r="D50" i="25" s="1"/>
  <c r="C7" i="25"/>
  <c r="C49" i="25" s="1"/>
  <c r="C50" i="25" s="1"/>
  <c r="C29" i="2"/>
  <c r="I117" i="43"/>
  <c r="H117" i="43"/>
  <c r="G117" i="43"/>
  <c r="F117" i="43"/>
  <c r="E117" i="43"/>
  <c r="D117" i="43"/>
  <c r="C117" i="43"/>
  <c r="I114" i="43"/>
  <c r="H114" i="43"/>
  <c r="G114" i="43"/>
  <c r="F114" i="43"/>
  <c r="E114" i="43"/>
  <c r="D114" i="43"/>
  <c r="C114" i="43"/>
  <c r="I111" i="43"/>
  <c r="H111" i="43"/>
  <c r="G111" i="43"/>
  <c r="F111" i="43"/>
  <c r="E111" i="43"/>
  <c r="D111" i="43"/>
  <c r="C111" i="43"/>
  <c r="I110" i="43"/>
  <c r="H110" i="43"/>
  <c r="G110" i="43"/>
  <c r="F110" i="43"/>
  <c r="E110" i="43"/>
  <c r="D110" i="43"/>
  <c r="C110" i="43"/>
  <c r="I109" i="43"/>
  <c r="H109" i="43"/>
  <c r="G109" i="43"/>
  <c r="F109" i="43"/>
  <c r="E109" i="43"/>
  <c r="D109" i="43"/>
  <c r="C109" i="43"/>
  <c r="I108" i="43"/>
  <c r="H108" i="43"/>
  <c r="G108" i="43"/>
  <c r="F108" i="43"/>
  <c r="E108" i="43"/>
  <c r="D108" i="43"/>
  <c r="C108" i="43"/>
  <c r="I102" i="43"/>
  <c r="H102" i="43"/>
  <c r="G102" i="43"/>
  <c r="F102" i="43"/>
  <c r="E102" i="43"/>
  <c r="D102" i="43"/>
  <c r="C102" i="43"/>
  <c r="I101" i="43"/>
  <c r="H101" i="43"/>
  <c r="G101" i="43"/>
  <c r="F101" i="43"/>
  <c r="E101" i="43"/>
  <c r="D101" i="43"/>
  <c r="C101" i="43"/>
  <c r="I96" i="43"/>
  <c r="H96" i="43"/>
  <c r="G96" i="43"/>
  <c r="F96" i="43"/>
  <c r="E96" i="43"/>
  <c r="D96" i="43"/>
  <c r="C96" i="43"/>
  <c r="G95" i="43"/>
  <c r="E95" i="43"/>
  <c r="H97" i="43"/>
  <c r="G97" i="43"/>
  <c r="E97" i="43"/>
  <c r="D97" i="43"/>
  <c r="C97" i="43"/>
  <c r="I94" i="43"/>
  <c r="H94" i="43"/>
  <c r="G94" i="43"/>
  <c r="F94" i="43"/>
  <c r="E94" i="43"/>
  <c r="D94" i="43"/>
  <c r="C94" i="43"/>
  <c r="J91" i="43"/>
  <c r="I91" i="43"/>
  <c r="H91" i="43"/>
  <c r="G91" i="43"/>
  <c r="C91" i="43"/>
  <c r="I84" i="43"/>
  <c r="G84" i="43"/>
  <c r="D84" i="43"/>
  <c r="H83" i="43"/>
  <c r="G83" i="43"/>
  <c r="F83" i="43"/>
  <c r="E83" i="43"/>
  <c r="J65" i="43"/>
  <c r="I65" i="43"/>
  <c r="H65" i="43"/>
  <c r="G65" i="43"/>
  <c r="C65" i="43"/>
  <c r="I58" i="43"/>
  <c r="H58" i="43"/>
  <c r="G58" i="43"/>
  <c r="F58" i="43"/>
  <c r="E58" i="43"/>
  <c r="D58" i="43"/>
  <c r="C58" i="43"/>
  <c r="I55" i="43"/>
  <c r="H55" i="43"/>
  <c r="G55" i="43"/>
  <c r="F55" i="43"/>
  <c r="E55" i="43"/>
  <c r="D55" i="43"/>
  <c r="C55" i="43"/>
  <c r="I54" i="43"/>
  <c r="H54" i="43"/>
  <c r="G54" i="43"/>
  <c r="F54" i="43"/>
  <c r="E54" i="43"/>
  <c r="D54" i="43"/>
  <c r="C54" i="43"/>
  <c r="I50" i="43"/>
  <c r="H50" i="43"/>
  <c r="G50" i="43"/>
  <c r="F50" i="43"/>
  <c r="E50" i="43"/>
  <c r="D50" i="43"/>
  <c r="C50" i="43"/>
  <c r="I49" i="43"/>
  <c r="H49" i="43"/>
  <c r="G49" i="43"/>
  <c r="F49" i="43"/>
  <c r="E49" i="43"/>
  <c r="D49" i="43"/>
  <c r="C49" i="43"/>
  <c r="I48" i="43"/>
  <c r="H48" i="43"/>
  <c r="G48" i="43"/>
  <c r="F48" i="43"/>
  <c r="E48" i="43"/>
  <c r="D48" i="43"/>
  <c r="C48" i="43"/>
  <c r="I47" i="43"/>
  <c r="H47" i="43"/>
  <c r="G47" i="43"/>
  <c r="F47" i="43"/>
  <c r="E47" i="43"/>
  <c r="D47" i="43"/>
  <c r="C47" i="43"/>
  <c r="I46" i="43"/>
  <c r="H46" i="43"/>
  <c r="G46" i="43"/>
  <c r="F46" i="43"/>
  <c r="E46" i="43"/>
  <c r="D46" i="43"/>
  <c r="C46" i="43"/>
  <c r="I43" i="43"/>
  <c r="H43" i="43"/>
  <c r="G43" i="43"/>
  <c r="F43" i="43"/>
  <c r="E43" i="43"/>
  <c r="D43" i="43"/>
  <c r="C43" i="43"/>
  <c r="J41" i="43"/>
  <c r="I41" i="43"/>
  <c r="H41" i="43"/>
  <c r="G41" i="43"/>
  <c r="C41" i="43"/>
  <c r="D2" i="43"/>
  <c r="F39" i="35"/>
  <c r="G69" i="43" l="1"/>
  <c r="G68" i="43"/>
  <c r="G73" i="43" s="1"/>
  <c r="H68" i="43"/>
  <c r="H69" i="43"/>
  <c r="I68" i="43"/>
  <c r="I69" i="43"/>
  <c r="C68" i="43"/>
  <c r="C69" i="43"/>
  <c r="D68" i="43"/>
  <c r="D69" i="43"/>
  <c r="E69" i="43"/>
  <c r="E68" i="43"/>
  <c r="E73" i="43" s="1"/>
  <c r="F69" i="43"/>
  <c r="F68" i="43"/>
  <c r="H73" i="65"/>
  <c r="H74" i="65"/>
  <c r="H24" i="65" s="1"/>
  <c r="I74" i="65"/>
  <c r="D73" i="65"/>
  <c r="D74" i="65"/>
  <c r="D24" i="65" s="1"/>
  <c r="G74" i="65"/>
  <c r="E73" i="65"/>
  <c r="E74" i="65"/>
  <c r="E24" i="65" s="1"/>
  <c r="F74" i="65"/>
  <c r="F24" i="65" s="1"/>
  <c r="D4" i="25"/>
  <c r="D4" i="67"/>
  <c r="C73" i="65"/>
  <c r="C74" i="65"/>
  <c r="C24" i="65" s="1"/>
  <c r="I24" i="65"/>
  <c r="I29" i="65"/>
  <c r="I103" i="65"/>
  <c r="I121" i="65" s="1"/>
  <c r="I123" i="65" s="1"/>
  <c r="C95" i="43"/>
  <c r="D95" i="43"/>
  <c r="I95" i="43"/>
  <c r="C58" i="37"/>
  <c r="C60" i="37" s="1"/>
  <c r="F95" i="43"/>
  <c r="H95" i="43"/>
  <c r="D58" i="37"/>
  <c r="D60" i="37" s="1"/>
  <c r="E58" i="37"/>
  <c r="E60" i="37" s="1"/>
  <c r="F58" i="37"/>
  <c r="F60" i="37" s="1"/>
  <c r="C29" i="65"/>
  <c r="C103" i="65"/>
  <c r="C121" i="65" s="1"/>
  <c r="C123" i="65" s="1"/>
  <c r="G58" i="37"/>
  <c r="G60" i="37" s="1"/>
  <c r="H58" i="37"/>
  <c r="H60" i="37" s="1"/>
  <c r="D29" i="65"/>
  <c r="D103" i="65"/>
  <c r="D121" i="65" s="1"/>
  <c r="D123" i="65" s="1"/>
  <c r="F97" i="43"/>
  <c r="E29" i="65"/>
  <c r="E103" i="65"/>
  <c r="E121" i="65" s="1"/>
  <c r="E123" i="65" s="1"/>
  <c r="I58" i="37"/>
  <c r="I60" i="37" s="1"/>
  <c r="F29" i="65"/>
  <c r="F103" i="65"/>
  <c r="F121" i="65" s="1"/>
  <c r="F123" i="65" s="1"/>
  <c r="G29" i="65"/>
  <c r="G103" i="65"/>
  <c r="G121" i="65" s="1"/>
  <c r="G123" i="65" s="1"/>
  <c r="I97" i="43"/>
  <c r="H29" i="65"/>
  <c r="H103" i="65"/>
  <c r="H121" i="65" s="1"/>
  <c r="H123" i="65" s="1"/>
  <c r="K89" i="65"/>
  <c r="G25" i="43"/>
  <c r="J75" i="65"/>
  <c r="K75" i="65" s="1"/>
  <c r="H25" i="43"/>
  <c r="I25" i="43"/>
  <c r="J114" i="43"/>
  <c r="K114" i="43" s="1"/>
  <c r="C25" i="43"/>
  <c r="D25" i="43"/>
  <c r="E25" i="43"/>
  <c r="F25" i="43"/>
  <c r="D75" i="65"/>
  <c r="H75" i="65"/>
  <c r="D85" i="65"/>
  <c r="D90" i="65"/>
  <c r="E85" i="65"/>
  <c r="F85" i="65"/>
  <c r="G85" i="65"/>
  <c r="H85" i="65"/>
  <c r="G75" i="65"/>
  <c r="E84" i="65"/>
  <c r="G84" i="65"/>
  <c r="H84" i="43"/>
  <c r="H85" i="43" s="1"/>
  <c r="H84" i="65"/>
  <c r="F76" i="65"/>
  <c r="I84" i="65"/>
  <c r="J84" i="65" s="1"/>
  <c r="K84" i="65" s="1"/>
  <c r="L84" i="65" s="1"/>
  <c r="M84" i="65" s="1"/>
  <c r="N84" i="65" s="1"/>
  <c r="O84" i="65" s="1"/>
  <c r="P84" i="65" s="1"/>
  <c r="Q84" i="65" s="1"/>
  <c r="R84" i="65" s="1"/>
  <c r="G76" i="65"/>
  <c r="C83" i="43"/>
  <c r="C88" i="65"/>
  <c r="C77" i="65"/>
  <c r="G24" i="65"/>
  <c r="G90" i="65"/>
  <c r="J76" i="65"/>
  <c r="K76" i="65" s="1"/>
  <c r="H90" i="65"/>
  <c r="F84" i="65"/>
  <c r="F77" i="65"/>
  <c r="I85" i="65"/>
  <c r="J85" i="65" s="1"/>
  <c r="K85" i="65" s="1"/>
  <c r="L85" i="65" s="1"/>
  <c r="M85" i="65" s="1"/>
  <c r="N85" i="65" s="1"/>
  <c r="O85" i="65" s="1"/>
  <c r="P85" i="65" s="1"/>
  <c r="Q85" i="65" s="1"/>
  <c r="R85" i="65" s="1"/>
  <c r="I83" i="43"/>
  <c r="I85" i="43" s="1"/>
  <c r="I88" i="65"/>
  <c r="F73" i="65"/>
  <c r="C75" i="65"/>
  <c r="G77" i="65"/>
  <c r="C89" i="65"/>
  <c r="J83" i="65"/>
  <c r="J60" i="65"/>
  <c r="G73" i="65"/>
  <c r="I77" i="65"/>
  <c r="C84" i="65"/>
  <c r="E89" i="65"/>
  <c r="E90" i="65" s="1"/>
  <c r="I73" i="65"/>
  <c r="F75" i="65"/>
  <c r="D84" i="65"/>
  <c r="F84" i="43"/>
  <c r="F85" i="43" s="1"/>
  <c r="F89" i="65"/>
  <c r="F90" i="65" s="1"/>
  <c r="N7" i="28"/>
  <c r="N8" i="28" s="1"/>
  <c r="N15" i="28" s="1"/>
  <c r="N4" i="28"/>
  <c r="N11" i="28"/>
  <c r="C84" i="43"/>
  <c r="E45" i="25"/>
  <c r="E47" i="25" s="1"/>
  <c r="D44" i="25"/>
  <c r="H45" i="25"/>
  <c r="H47" i="25" s="1"/>
  <c r="F45" i="25"/>
  <c r="F47" i="25" s="1"/>
  <c r="E44" i="25"/>
  <c r="G45" i="25"/>
  <c r="G47" i="25" s="1"/>
  <c r="F44" i="25"/>
  <c r="G44" i="25"/>
  <c r="I45" i="25"/>
  <c r="I47" i="25" s="1"/>
  <c r="H44" i="25"/>
  <c r="I44" i="25"/>
  <c r="C45" i="25"/>
  <c r="C47" i="25" s="1"/>
  <c r="D45" i="25"/>
  <c r="D47" i="25" s="1"/>
  <c r="C44" i="25"/>
  <c r="D83" i="43"/>
  <c r="J19" i="28"/>
  <c r="J22" i="28" s="1"/>
  <c r="J23" i="28" s="1"/>
  <c r="E84" i="43"/>
  <c r="C9" i="43"/>
  <c r="G44" i="43"/>
  <c r="G52" i="43" s="1"/>
  <c r="H44" i="43"/>
  <c r="H13" i="43" s="1"/>
  <c r="E9" i="43"/>
  <c r="D9" i="43"/>
  <c r="F9" i="43"/>
  <c r="C17" i="43"/>
  <c r="D17" i="43"/>
  <c r="E17" i="43"/>
  <c r="G17" i="43"/>
  <c r="F17" i="43"/>
  <c r="H17" i="43"/>
  <c r="I17" i="43"/>
  <c r="H103" i="43"/>
  <c r="G85" i="43"/>
  <c r="C15" i="43"/>
  <c r="I15" i="43"/>
  <c r="C44" i="43"/>
  <c r="C52" i="43" s="1"/>
  <c r="K110" i="43"/>
  <c r="C29" i="43"/>
  <c r="F15" i="43"/>
  <c r="D29" i="43"/>
  <c r="C16" i="43"/>
  <c r="H29" i="43"/>
  <c r="H9" i="43"/>
  <c r="F14" i="43"/>
  <c r="H16" i="43"/>
  <c r="I16" i="43"/>
  <c r="I14" i="43"/>
  <c r="E29" i="43"/>
  <c r="H15" i="43"/>
  <c r="F29" i="43"/>
  <c r="H14" i="43"/>
  <c r="H12" i="43"/>
  <c r="D15" i="43"/>
  <c r="E15" i="43"/>
  <c r="I103" i="43"/>
  <c r="I9" i="43"/>
  <c r="D44" i="43"/>
  <c r="D52" i="43" s="1"/>
  <c r="E44" i="43"/>
  <c r="E13" i="43" s="1"/>
  <c r="C14" i="43"/>
  <c r="E16" i="43"/>
  <c r="F44" i="43"/>
  <c r="F52" i="43" s="1"/>
  <c r="D14" i="43"/>
  <c r="F16" i="43"/>
  <c r="E14" i="43"/>
  <c r="G29" i="43"/>
  <c r="C112" i="43"/>
  <c r="D112" i="43"/>
  <c r="C12" i="43"/>
  <c r="F112" i="43"/>
  <c r="I37" i="43"/>
  <c r="I38" i="43" s="1"/>
  <c r="I39" i="43" s="1"/>
  <c r="D12" i="43"/>
  <c r="D16" i="43"/>
  <c r="C103" i="43"/>
  <c r="G112" i="43"/>
  <c r="D91" i="43"/>
  <c r="D65" i="43"/>
  <c r="I112" i="43"/>
  <c r="I29" i="43"/>
  <c r="E12" i="43"/>
  <c r="D103" i="43"/>
  <c r="H112" i="43"/>
  <c r="G15" i="43"/>
  <c r="E112" i="43"/>
  <c r="F12" i="43"/>
  <c r="E103" i="43"/>
  <c r="E2" i="43"/>
  <c r="G12" i="43"/>
  <c r="G14" i="43"/>
  <c r="G16" i="43"/>
  <c r="F103" i="43"/>
  <c r="G9" i="43"/>
  <c r="D41" i="43"/>
  <c r="G103" i="43"/>
  <c r="I44" i="43"/>
  <c r="I12" i="43"/>
  <c r="J24" i="65" l="1"/>
  <c r="F73" i="43"/>
  <c r="D73" i="43"/>
  <c r="C73" i="43"/>
  <c r="I73" i="43"/>
  <c r="H73" i="43"/>
  <c r="F10" i="43"/>
  <c r="D10" i="43"/>
  <c r="J96" i="43"/>
  <c r="E4" i="25"/>
  <c r="E4" i="67"/>
  <c r="J74" i="65"/>
  <c r="K74" i="65" s="1"/>
  <c r="K24" i="65" s="1"/>
  <c r="K3" i="67" s="1"/>
  <c r="J3" i="67"/>
  <c r="J25" i="43"/>
  <c r="J29" i="65"/>
  <c r="J100" i="65" s="1"/>
  <c r="K100" i="65" s="1"/>
  <c r="K29" i="65" s="1"/>
  <c r="H78" i="65"/>
  <c r="G78" i="65"/>
  <c r="H23" i="43"/>
  <c r="H24" i="43"/>
  <c r="F87" i="43"/>
  <c r="H22" i="43"/>
  <c r="G24" i="43"/>
  <c r="H51" i="43"/>
  <c r="H56" i="43" s="1"/>
  <c r="H60" i="43" s="1"/>
  <c r="G22" i="43"/>
  <c r="L114" i="43"/>
  <c r="M114" i="43" s="1"/>
  <c r="H87" i="43"/>
  <c r="C85" i="43"/>
  <c r="E78" i="65"/>
  <c r="I90" i="65"/>
  <c r="L76" i="65"/>
  <c r="L102" i="65" s="1"/>
  <c r="E10" i="64"/>
  <c r="K60" i="65"/>
  <c r="K30" i="65" s="1"/>
  <c r="E63" i="64"/>
  <c r="J61" i="65"/>
  <c r="E68" i="64"/>
  <c r="K83" i="65"/>
  <c r="C78" i="65"/>
  <c r="I78" i="65"/>
  <c r="F78" i="65"/>
  <c r="C90" i="65"/>
  <c r="D78" i="65"/>
  <c r="J102" i="65"/>
  <c r="K102" i="65" s="1"/>
  <c r="E10" i="43"/>
  <c r="H52" i="43"/>
  <c r="G13" i="43"/>
  <c r="G51" i="43"/>
  <c r="G56" i="43" s="1"/>
  <c r="G60" i="43" s="1"/>
  <c r="G19" i="43" s="1"/>
  <c r="E68" i="35"/>
  <c r="O4" i="28"/>
  <c r="P4" i="28" s="1"/>
  <c r="O6" i="28"/>
  <c r="D85" i="43"/>
  <c r="G87" i="43"/>
  <c r="E85" i="43"/>
  <c r="J26" i="28"/>
  <c r="J25" i="28"/>
  <c r="K9" i="43"/>
  <c r="G23" i="43"/>
  <c r="C24" i="43"/>
  <c r="I21" i="43"/>
  <c r="C23" i="43"/>
  <c r="C13" i="43"/>
  <c r="D23" i="43"/>
  <c r="F24" i="43"/>
  <c r="F51" i="43"/>
  <c r="F56" i="43" s="1"/>
  <c r="F60" i="43" s="1"/>
  <c r="D22" i="43"/>
  <c r="I87" i="43"/>
  <c r="F22" i="43"/>
  <c r="F21" i="43"/>
  <c r="D24" i="43"/>
  <c r="D51" i="43"/>
  <c r="D56" i="43" s="1"/>
  <c r="D60" i="43" s="1"/>
  <c r="D19" i="43" s="1"/>
  <c r="C51" i="43"/>
  <c r="C56" i="43" s="1"/>
  <c r="C22" i="43"/>
  <c r="C21" i="43"/>
  <c r="G21" i="43"/>
  <c r="E21" i="43"/>
  <c r="D21" i="43"/>
  <c r="H21" i="43"/>
  <c r="E24" i="43"/>
  <c r="I10" i="43"/>
  <c r="F23" i="43"/>
  <c r="F13" i="43"/>
  <c r="I13" i="43"/>
  <c r="I52" i="43"/>
  <c r="E52" i="43"/>
  <c r="E23" i="43"/>
  <c r="D13" i="43"/>
  <c r="E51" i="43"/>
  <c r="E56" i="43" s="1"/>
  <c r="E60" i="43" s="1"/>
  <c r="E22" i="43"/>
  <c r="E91" i="43"/>
  <c r="E65" i="43"/>
  <c r="F2" i="43"/>
  <c r="E41" i="43"/>
  <c r="H10" i="43"/>
  <c r="I51" i="43"/>
  <c r="I56" i="43" s="1"/>
  <c r="I24" i="43"/>
  <c r="I23" i="43"/>
  <c r="J14" i="43"/>
  <c r="J29" i="43"/>
  <c r="I22" i="43"/>
  <c r="J12" i="43"/>
  <c r="J16" i="43"/>
  <c r="J21" i="43" l="1"/>
  <c r="J3" i="25"/>
  <c r="J13" i="43"/>
  <c r="J101" i="65"/>
  <c r="E62" i="43"/>
  <c r="E63" i="43" s="1"/>
  <c r="E19" i="43"/>
  <c r="F62" i="43"/>
  <c r="F63" i="43" s="1"/>
  <c r="F19" i="43"/>
  <c r="C60" i="43"/>
  <c r="C18" i="43"/>
  <c r="F4" i="25"/>
  <c r="F4" i="67"/>
  <c r="H62" i="43"/>
  <c r="H19" i="43"/>
  <c r="J9" i="43"/>
  <c r="J2" i="67" s="1"/>
  <c r="J49" i="67" s="1"/>
  <c r="K2" i="67"/>
  <c r="K49" i="67" s="1"/>
  <c r="C87" i="43"/>
  <c r="C89" i="43" s="1"/>
  <c r="G93" i="43"/>
  <c r="G98" i="43" s="1"/>
  <c r="G62" i="43"/>
  <c r="D93" i="43"/>
  <c r="D98" i="43" s="1"/>
  <c r="D62" i="43"/>
  <c r="J77" i="65"/>
  <c r="H18" i="43"/>
  <c r="L30" i="65"/>
  <c r="M30" i="65" s="1"/>
  <c r="H93" i="43"/>
  <c r="J22" i="43"/>
  <c r="G18" i="43"/>
  <c r="F93" i="43"/>
  <c r="N114" i="43"/>
  <c r="E87" i="43"/>
  <c r="E89" i="43" s="1"/>
  <c r="F68" i="64"/>
  <c r="L83" i="65"/>
  <c r="J63" i="65"/>
  <c r="J65" i="65" s="1"/>
  <c r="J66" i="65" s="1"/>
  <c r="K66" i="65" s="1"/>
  <c r="E73" i="64"/>
  <c r="E75" i="64" s="1"/>
  <c r="E76" i="64" s="1"/>
  <c r="E67" i="64"/>
  <c r="E69" i="64" s="1"/>
  <c r="E70" i="64" s="1"/>
  <c r="E64" i="64"/>
  <c r="F63" i="64"/>
  <c r="F10" i="64"/>
  <c r="K61" i="65"/>
  <c r="K101" i="65"/>
  <c r="D87" i="43"/>
  <c r="D89" i="43" s="1"/>
  <c r="M76" i="65"/>
  <c r="M102" i="65" s="1"/>
  <c r="L9" i="43"/>
  <c r="L2" i="67" s="1"/>
  <c r="K2" i="25"/>
  <c r="G89" i="43"/>
  <c r="O11" i="28"/>
  <c r="O7" i="28"/>
  <c r="P6" i="28"/>
  <c r="O8" i="28"/>
  <c r="O15" i="28" s="1"/>
  <c r="J29" i="28"/>
  <c r="K26" i="28"/>
  <c r="Q26" i="28"/>
  <c r="P26" i="28"/>
  <c r="O26" i="28"/>
  <c r="N26" i="28"/>
  <c r="M26" i="28"/>
  <c r="L26" i="28"/>
  <c r="D116" i="43"/>
  <c r="D118" i="43" s="1"/>
  <c r="I89" i="43"/>
  <c r="F18" i="43"/>
  <c r="C93" i="43"/>
  <c r="C98" i="43" s="1"/>
  <c r="F89" i="43"/>
  <c r="D18" i="43"/>
  <c r="H89" i="43"/>
  <c r="E93" i="43"/>
  <c r="E98" i="43" s="1"/>
  <c r="E18" i="43"/>
  <c r="E28" i="43"/>
  <c r="E27" i="43"/>
  <c r="F28" i="43"/>
  <c r="F27" i="43"/>
  <c r="F91" i="43"/>
  <c r="K2" i="43"/>
  <c r="K4" i="67" s="1"/>
  <c r="F65" i="43"/>
  <c r="F41" i="43"/>
  <c r="J23" i="43"/>
  <c r="E63" i="35"/>
  <c r="E10" i="35"/>
  <c r="K55" i="43"/>
  <c r="I18" i="43"/>
  <c r="I60" i="43"/>
  <c r="H27" i="43" l="1"/>
  <c r="H63" i="43"/>
  <c r="D28" i="43"/>
  <c r="D63" i="43"/>
  <c r="G28" i="43"/>
  <c r="G63" i="43"/>
  <c r="J2" i="25"/>
  <c r="J49" i="25" s="1"/>
  <c r="J24" i="25" s="1"/>
  <c r="C62" i="43"/>
  <c r="C63" i="43" s="1"/>
  <c r="J43" i="43"/>
  <c r="J46" i="43" s="1"/>
  <c r="E6" i="35" s="1"/>
  <c r="I62" i="43"/>
  <c r="I63" i="43" s="1"/>
  <c r="I19" i="43"/>
  <c r="J10" i="43"/>
  <c r="H28" i="43"/>
  <c r="F68" i="35"/>
  <c r="F98" i="43"/>
  <c r="F116" i="43" s="1"/>
  <c r="F118" i="43" s="1"/>
  <c r="H98" i="43"/>
  <c r="H116" i="43" s="1"/>
  <c r="H118" i="43" s="1"/>
  <c r="G27" i="43"/>
  <c r="M107" i="65"/>
  <c r="N30" i="65"/>
  <c r="N107" i="65" s="1"/>
  <c r="L107" i="65"/>
  <c r="O114" i="43"/>
  <c r="P114" i="43" s="1"/>
  <c r="Q114" i="43" s="1"/>
  <c r="F67" i="64"/>
  <c r="F69" i="64" s="1"/>
  <c r="F70" i="64" s="1"/>
  <c r="O17" i="66" s="1"/>
  <c r="F73" i="64"/>
  <c r="F75" i="64" s="1"/>
  <c r="F76" i="64" s="1"/>
  <c r="O18" i="66" s="1"/>
  <c r="F64" i="64"/>
  <c r="O16" i="66" s="1"/>
  <c r="J67" i="65"/>
  <c r="K63" i="65"/>
  <c r="E12" i="64"/>
  <c r="E13" i="64" s="1"/>
  <c r="N76" i="65"/>
  <c r="N102" i="65" s="1"/>
  <c r="K65" i="65"/>
  <c r="K67" i="65" s="1"/>
  <c r="G68" i="64"/>
  <c r="M83" i="65"/>
  <c r="F4" i="35"/>
  <c r="F47" i="35" s="1"/>
  <c r="K4" i="25"/>
  <c r="L43" i="43"/>
  <c r="L2" i="25"/>
  <c r="M9" i="43"/>
  <c r="M2" i="67" s="1"/>
  <c r="Q6" i="28"/>
  <c r="P7" i="28"/>
  <c r="P8" i="28" s="1"/>
  <c r="P15" i="28" s="1"/>
  <c r="P11" i="28"/>
  <c r="D27" i="43"/>
  <c r="E116" i="43"/>
  <c r="E118" i="43" s="1"/>
  <c r="C116" i="43"/>
  <c r="C118" i="43" s="1"/>
  <c r="G116" i="43"/>
  <c r="G118" i="43" s="1"/>
  <c r="K107" i="43"/>
  <c r="I93" i="43"/>
  <c r="I98" i="43" s="1"/>
  <c r="K65" i="43"/>
  <c r="K91" i="43"/>
  <c r="K41" i="43"/>
  <c r="L2" i="43"/>
  <c r="L4" i="67" s="1"/>
  <c r="F63" i="35"/>
  <c r="F10" i="35"/>
  <c r="E73" i="35"/>
  <c r="E67" i="35"/>
  <c r="J111" i="43"/>
  <c r="E5" i="35" l="1"/>
  <c r="J47" i="43"/>
  <c r="E7" i="35" s="1"/>
  <c r="J48" i="43"/>
  <c r="K48" i="43" s="1"/>
  <c r="J44" i="43"/>
  <c r="J101" i="43" s="1"/>
  <c r="K101" i="43" s="1"/>
  <c r="J69" i="43"/>
  <c r="K69" i="43" s="1"/>
  <c r="E8" i="35"/>
  <c r="J102" i="43"/>
  <c r="K102" i="43" s="1"/>
  <c r="C28" i="43"/>
  <c r="C27" i="43"/>
  <c r="K43" i="43"/>
  <c r="F5" i="35" s="1"/>
  <c r="E6" i="66" s="1"/>
  <c r="J50" i="43"/>
  <c r="K50" i="43" s="1"/>
  <c r="K21" i="65"/>
  <c r="K46" i="43"/>
  <c r="F6" i="35" s="1"/>
  <c r="O30" i="65"/>
  <c r="R114" i="43"/>
  <c r="H68" i="64"/>
  <c r="N83" i="65"/>
  <c r="F12" i="64"/>
  <c r="F13" i="64" s="1"/>
  <c r="O9" i="66" s="1"/>
  <c r="K20" i="65"/>
  <c r="J114" i="65"/>
  <c r="K114" i="65" s="1"/>
  <c r="K33" i="65" s="1"/>
  <c r="J113" i="65"/>
  <c r="K113" i="65" s="1"/>
  <c r="K32" i="65" s="1"/>
  <c r="J103" i="65"/>
  <c r="K98" i="65"/>
  <c r="K103" i="65" s="1"/>
  <c r="F15" i="64" s="1"/>
  <c r="F17" i="64" s="1"/>
  <c r="O76" i="65"/>
  <c r="O102" i="65" s="1"/>
  <c r="N9" i="43"/>
  <c r="N2" i="67" s="1"/>
  <c r="M2" i="25"/>
  <c r="M43" i="43"/>
  <c r="G4" i="35"/>
  <c r="G47" i="35" s="1"/>
  <c r="L4" i="25"/>
  <c r="L44" i="43"/>
  <c r="G5" i="35"/>
  <c r="F6" i="66" s="1"/>
  <c r="Z6" i="66" s="1"/>
  <c r="G68" i="35"/>
  <c r="Q7" i="28"/>
  <c r="Q8" i="28"/>
  <c r="Q11" i="28"/>
  <c r="E69" i="35"/>
  <c r="L48" i="43"/>
  <c r="F67" i="35"/>
  <c r="F73" i="35"/>
  <c r="K111" i="43"/>
  <c r="I28" i="43"/>
  <c r="I27" i="43"/>
  <c r="K96" i="43"/>
  <c r="L91" i="43"/>
  <c r="L65" i="43"/>
  <c r="L41" i="43"/>
  <c r="M2" i="43"/>
  <c r="M4" i="67" s="1"/>
  <c r="E9" i="35" l="1"/>
  <c r="E57" i="35" s="1"/>
  <c r="E62" i="35" s="1"/>
  <c r="E64" i="35" s="1"/>
  <c r="K47" i="43"/>
  <c r="F7" i="35" s="1"/>
  <c r="J97" i="43"/>
  <c r="J94" i="43"/>
  <c r="J52" i="43"/>
  <c r="P30" i="65"/>
  <c r="P107" i="65" s="1"/>
  <c r="O107" i="65"/>
  <c r="J103" i="43"/>
  <c r="J70" i="43"/>
  <c r="K70" i="43" s="1"/>
  <c r="J72" i="43"/>
  <c r="K72" i="43" s="1"/>
  <c r="K97" i="43"/>
  <c r="J51" i="43"/>
  <c r="K16" i="43"/>
  <c r="L16" i="43" s="1"/>
  <c r="M16" i="43" s="1"/>
  <c r="C86" i="65"/>
  <c r="C92" i="65" s="1"/>
  <c r="C94" i="65" s="1"/>
  <c r="K12" i="43"/>
  <c r="L12" i="43" s="1"/>
  <c r="K14" i="43"/>
  <c r="L14" i="43" s="1"/>
  <c r="M14" i="43" s="1"/>
  <c r="K44" i="43"/>
  <c r="E16" i="35"/>
  <c r="L50" i="43"/>
  <c r="M50" i="43" s="1"/>
  <c r="K49" i="43"/>
  <c r="F8" i="35" s="1"/>
  <c r="F9" i="35" s="1"/>
  <c r="L21" i="65"/>
  <c r="M21" i="65" s="1"/>
  <c r="K94" i="43"/>
  <c r="E58" i="35"/>
  <c r="E59" i="35" s="1"/>
  <c r="E66" i="35" s="1"/>
  <c r="O10" i="66"/>
  <c r="Q30" i="65"/>
  <c r="Q107" i="65" s="1"/>
  <c r="F16" i="35"/>
  <c r="E15" i="64"/>
  <c r="E17" i="64" s="1"/>
  <c r="L20" i="65"/>
  <c r="M20" i="65" s="1"/>
  <c r="F38" i="64"/>
  <c r="P76" i="65"/>
  <c r="I68" i="64"/>
  <c r="O83" i="65"/>
  <c r="H5" i="35"/>
  <c r="G6" i="66" s="1"/>
  <c r="AA6" i="66" s="1"/>
  <c r="M44" i="43"/>
  <c r="N2" i="25"/>
  <c r="N43" i="43"/>
  <c r="O9" i="43"/>
  <c r="H4" i="35"/>
  <c r="H47" i="35" s="1"/>
  <c r="M4" i="25"/>
  <c r="H68" i="35"/>
  <c r="Q15" i="28"/>
  <c r="M48" i="43"/>
  <c r="F69" i="35"/>
  <c r="J27" i="43"/>
  <c r="L96" i="43"/>
  <c r="K103" i="43"/>
  <c r="I116" i="43"/>
  <c r="I118" i="43" s="1"/>
  <c r="M91" i="43"/>
  <c r="M65" i="43"/>
  <c r="N2" i="43"/>
  <c r="N4" i="67" s="1"/>
  <c r="M41" i="43"/>
  <c r="O2" i="67" l="1"/>
  <c r="P9" i="43"/>
  <c r="N16" i="43"/>
  <c r="O16" i="43" s="1"/>
  <c r="D86" i="65"/>
  <c r="D92" i="65" s="1"/>
  <c r="D94" i="65" s="1"/>
  <c r="K51" i="43"/>
  <c r="K24" i="43"/>
  <c r="L24" i="43" s="1"/>
  <c r="M24" i="43" s="1"/>
  <c r="M97" i="43" s="1"/>
  <c r="K23" i="43"/>
  <c r="L23" i="43" s="1"/>
  <c r="M23" i="43" s="1"/>
  <c r="K15" i="43"/>
  <c r="L15" i="43" s="1"/>
  <c r="M15" i="43" s="1"/>
  <c r="M49" i="43" s="1"/>
  <c r="F58" i="35"/>
  <c r="N24" i="43"/>
  <c r="O24" i="43" s="1"/>
  <c r="P24" i="43" s="1"/>
  <c r="Q24" i="43" s="1"/>
  <c r="R24" i="43" s="1"/>
  <c r="K13" i="43"/>
  <c r="L13" i="43" s="1"/>
  <c r="L15" i="65" s="1"/>
  <c r="L52" i="65" s="1"/>
  <c r="G7" i="64" s="1"/>
  <c r="K52" i="43"/>
  <c r="L97" i="43"/>
  <c r="K22" i="43"/>
  <c r="L22" i="43" s="1"/>
  <c r="L101" i="43" s="1"/>
  <c r="N21" i="65"/>
  <c r="F57" i="35"/>
  <c r="F62" i="35" s="1"/>
  <c r="F64" i="35" s="1"/>
  <c r="E16" i="66" s="1"/>
  <c r="E8" i="66"/>
  <c r="R30" i="65"/>
  <c r="R107" i="65" s="1"/>
  <c r="M12" i="43"/>
  <c r="M13" i="65" s="1"/>
  <c r="M51" i="65" s="1"/>
  <c r="L13" i="65"/>
  <c r="L51" i="65" s="1"/>
  <c r="N20" i="65"/>
  <c r="O20" i="65" s="1"/>
  <c r="J68" i="64"/>
  <c r="P83" i="65"/>
  <c r="Q76" i="65"/>
  <c r="R76" i="65" s="1"/>
  <c r="R102" i="65" s="1"/>
  <c r="F41" i="64"/>
  <c r="F40" i="64"/>
  <c r="P102" i="65"/>
  <c r="O2" i="25"/>
  <c r="P2" i="67"/>
  <c r="O43" i="43"/>
  <c r="I4" i="35"/>
  <c r="I47" i="35" s="1"/>
  <c r="N4" i="25"/>
  <c r="N44" i="43"/>
  <c r="I5" i="35"/>
  <c r="H6" i="66" s="1"/>
  <c r="AB6" i="66" s="1"/>
  <c r="I68" i="35"/>
  <c r="N14" i="43"/>
  <c r="O14" i="43" s="1"/>
  <c r="N50" i="43"/>
  <c r="N48" i="43"/>
  <c r="L46" i="43"/>
  <c r="E70" i="35"/>
  <c r="E72" i="35"/>
  <c r="N41" i="43"/>
  <c r="O2" i="43"/>
  <c r="O4" i="67" s="1"/>
  <c r="N91" i="43"/>
  <c r="N65" i="43"/>
  <c r="P16" i="43" l="1"/>
  <c r="Q16" i="43" s="1"/>
  <c r="R16" i="43" s="1"/>
  <c r="N97" i="43"/>
  <c r="L49" i="43"/>
  <c r="G8" i="35" s="1"/>
  <c r="F59" i="35"/>
  <c r="F66" i="35" s="1"/>
  <c r="F70" i="35" s="1"/>
  <c r="E17" i="66" s="1"/>
  <c r="N15" i="43"/>
  <c r="N49" i="43" s="1"/>
  <c r="L47" i="43"/>
  <c r="G7" i="35" s="1"/>
  <c r="M22" i="43"/>
  <c r="M26" i="65" s="1"/>
  <c r="M106" i="65" s="1"/>
  <c r="H16" i="64" s="1"/>
  <c r="L26" i="65"/>
  <c r="L106" i="65" s="1"/>
  <c r="L75" i="65" s="1"/>
  <c r="M13" i="43"/>
  <c r="M15" i="65" s="1"/>
  <c r="M52" i="65" s="1"/>
  <c r="H7" i="64" s="1"/>
  <c r="O21" i="65"/>
  <c r="P21" i="65" s="1"/>
  <c r="Q21" i="65" s="1"/>
  <c r="Q102" i="65"/>
  <c r="F43" i="64"/>
  <c r="O12" i="66"/>
  <c r="N12" i="43"/>
  <c r="N13" i="65" s="1"/>
  <c r="N51" i="65" s="1"/>
  <c r="I6" i="64" s="1"/>
  <c r="G16" i="35"/>
  <c r="G6" i="64"/>
  <c r="G9" i="64" s="1"/>
  <c r="L57" i="65"/>
  <c r="L56" i="65"/>
  <c r="H6" i="64"/>
  <c r="M57" i="65"/>
  <c r="M46" i="43"/>
  <c r="M52" i="43" s="1"/>
  <c r="P20" i="65"/>
  <c r="Q20" i="65" s="1"/>
  <c r="R20" i="65" s="1"/>
  <c r="K68" i="64"/>
  <c r="Q83" i="65"/>
  <c r="J4" i="35"/>
  <c r="J47" i="35" s="1"/>
  <c r="O4" i="25"/>
  <c r="O44" i="43"/>
  <c r="J5" i="35"/>
  <c r="I6" i="66" s="1"/>
  <c r="AC6" i="66" s="1"/>
  <c r="P14" i="43"/>
  <c r="Q14" i="43" s="1"/>
  <c r="R14" i="43" s="1"/>
  <c r="P2" i="25"/>
  <c r="Q9" i="43"/>
  <c r="Q2" i="67" s="1"/>
  <c r="P43" i="43"/>
  <c r="J68" i="35"/>
  <c r="H8" i="35"/>
  <c r="O50" i="43"/>
  <c r="M96" i="43"/>
  <c r="I8" i="35"/>
  <c r="O48" i="43"/>
  <c r="L52" i="43"/>
  <c r="G6" i="35"/>
  <c r="N23" i="43"/>
  <c r="M94" i="43"/>
  <c r="L94" i="43"/>
  <c r="O41" i="43"/>
  <c r="O91" i="43"/>
  <c r="O65" i="43"/>
  <c r="P2" i="43"/>
  <c r="P4" i="67" s="1"/>
  <c r="F72" i="35" l="1"/>
  <c r="E7" i="66" s="1"/>
  <c r="M75" i="65"/>
  <c r="M101" i="43"/>
  <c r="L51" i="43"/>
  <c r="L70" i="43"/>
  <c r="M70" i="43" s="1"/>
  <c r="O15" i="43"/>
  <c r="P15" i="43" s="1"/>
  <c r="P49" i="43" s="1"/>
  <c r="N22" i="43"/>
  <c r="N26" i="65" s="1"/>
  <c r="N106" i="65" s="1"/>
  <c r="I16" i="64" s="1"/>
  <c r="N13" i="43"/>
  <c r="N47" i="43" s="1"/>
  <c r="I7" i="35" s="1"/>
  <c r="M56" i="65"/>
  <c r="H16" i="35"/>
  <c r="H9" i="64"/>
  <c r="Q8" i="66" s="1"/>
  <c r="N101" i="43"/>
  <c r="I16" i="35" s="1"/>
  <c r="M47" i="43"/>
  <c r="H7" i="35" s="1"/>
  <c r="O22" i="43"/>
  <c r="O26" i="65" s="1"/>
  <c r="O106" i="65" s="1"/>
  <c r="J16" i="64" s="1"/>
  <c r="G16" i="64"/>
  <c r="R21" i="65"/>
  <c r="O12" i="43"/>
  <c r="O13" i="65" s="1"/>
  <c r="O51" i="65" s="1"/>
  <c r="J6" i="64" s="1"/>
  <c r="N46" i="43"/>
  <c r="I6" i="35" s="1"/>
  <c r="G57" i="64"/>
  <c r="G59" i="64" s="1"/>
  <c r="G66" i="64" s="1"/>
  <c r="P8" i="66"/>
  <c r="H6" i="35"/>
  <c r="N57" i="65"/>
  <c r="H58" i="35"/>
  <c r="O97" i="43"/>
  <c r="L68" i="64"/>
  <c r="R83" i="65"/>
  <c r="K5" i="35"/>
  <c r="J6" i="66" s="1"/>
  <c r="AD6" i="66" s="1"/>
  <c r="P44" i="43"/>
  <c r="Q2" i="25"/>
  <c r="Q43" i="43"/>
  <c r="R9" i="43"/>
  <c r="R2" i="67" s="1"/>
  <c r="K4" i="35"/>
  <c r="K47" i="35" s="1"/>
  <c r="P4" i="25"/>
  <c r="K68" i="35"/>
  <c r="N96" i="43"/>
  <c r="P50" i="43"/>
  <c r="G9" i="35"/>
  <c r="P48" i="43"/>
  <c r="O23" i="43"/>
  <c r="O94" i="43" s="1"/>
  <c r="N94" i="43"/>
  <c r="G58" i="35"/>
  <c r="P41" i="43"/>
  <c r="P91" i="43"/>
  <c r="P65" i="43"/>
  <c r="Q2" i="43"/>
  <c r="Q4" i="67" s="1"/>
  <c r="O49" i="43" l="1"/>
  <c r="N75" i="65"/>
  <c r="M51" i="43"/>
  <c r="I9" i="35"/>
  <c r="N15" i="65"/>
  <c r="N52" i="65" s="1"/>
  <c r="I7" i="64" s="1"/>
  <c r="I9" i="64" s="1"/>
  <c r="I57" i="64" s="1"/>
  <c r="I62" i="64" s="1"/>
  <c r="N70" i="43"/>
  <c r="Q15" i="43"/>
  <c r="O13" i="43"/>
  <c r="O15" i="65" s="1"/>
  <c r="O52" i="65" s="1"/>
  <c r="J7" i="64" s="1"/>
  <c r="J9" i="64" s="1"/>
  <c r="J57" i="64" s="1"/>
  <c r="P22" i="43"/>
  <c r="P26" i="65" s="1"/>
  <c r="P106" i="65" s="1"/>
  <c r="K16" i="64" s="1"/>
  <c r="O75" i="65"/>
  <c r="H57" i="64"/>
  <c r="O101" i="43"/>
  <c r="O46" i="43"/>
  <c r="J6" i="35" s="1"/>
  <c r="H9" i="35"/>
  <c r="H57" i="35" s="1"/>
  <c r="H62" i="35" s="1"/>
  <c r="O47" i="43"/>
  <c r="J7" i="35" s="1"/>
  <c r="P13" i="43"/>
  <c r="Q13" i="43" s="1"/>
  <c r="N56" i="65"/>
  <c r="G62" i="64"/>
  <c r="P12" i="43"/>
  <c r="P13" i="65" s="1"/>
  <c r="P51" i="65" s="1"/>
  <c r="P57" i="65" s="1"/>
  <c r="N51" i="43"/>
  <c r="N52" i="43"/>
  <c r="O57" i="65"/>
  <c r="G57" i="35"/>
  <c r="G62" i="35" s="1"/>
  <c r="F8" i="66"/>
  <c r="Z8" i="66" s="1"/>
  <c r="G72" i="64"/>
  <c r="P7" i="66"/>
  <c r="I57" i="35"/>
  <c r="I62" i="35" s="1"/>
  <c r="H8" i="66"/>
  <c r="J58" i="35"/>
  <c r="I58" i="35"/>
  <c r="P97" i="43"/>
  <c r="P101" i="43"/>
  <c r="M68" i="64"/>
  <c r="Q44" i="43"/>
  <c r="L5" i="35"/>
  <c r="K6" i="66" s="1"/>
  <c r="AE6" i="66" s="1"/>
  <c r="L4" i="35"/>
  <c r="L47" i="35" s="1"/>
  <c r="Q4" i="25"/>
  <c r="R43" i="43"/>
  <c r="R2" i="25"/>
  <c r="L68" i="35"/>
  <c r="J8" i="35"/>
  <c r="K8" i="35"/>
  <c r="Q48" i="43"/>
  <c r="Q50" i="43"/>
  <c r="Q22" i="43"/>
  <c r="Q26" i="65" s="1"/>
  <c r="Q106" i="65" s="1"/>
  <c r="P23" i="43"/>
  <c r="P94" i="43" s="1"/>
  <c r="R15" i="43"/>
  <c r="Q49" i="43"/>
  <c r="Q41" i="43"/>
  <c r="Q91" i="43"/>
  <c r="Q65" i="43"/>
  <c r="R2" i="43"/>
  <c r="R4" i="67" s="1"/>
  <c r="O96" i="43"/>
  <c r="P75" i="65" l="1"/>
  <c r="R8" i="66"/>
  <c r="AB8" i="66" s="1"/>
  <c r="G8" i="66"/>
  <c r="AA8" i="66" s="1"/>
  <c r="O52" i="43"/>
  <c r="O56" i="65"/>
  <c r="O70" i="43"/>
  <c r="P70" i="43" s="1"/>
  <c r="O51" i="43"/>
  <c r="P47" i="43"/>
  <c r="K7" i="35" s="1"/>
  <c r="P15" i="65"/>
  <c r="P52" i="65" s="1"/>
  <c r="K7" i="64" s="1"/>
  <c r="J16" i="35"/>
  <c r="H62" i="64"/>
  <c r="H59" i="64"/>
  <c r="H66" i="64" s="1"/>
  <c r="P46" i="43"/>
  <c r="K6" i="35" s="1"/>
  <c r="Q12" i="43"/>
  <c r="Q13" i="65" s="1"/>
  <c r="Q51" i="65" s="1"/>
  <c r="J59" i="64"/>
  <c r="J66" i="64" s="1"/>
  <c r="J72" i="64" s="1"/>
  <c r="J62" i="64"/>
  <c r="K6" i="64"/>
  <c r="S8" i="66"/>
  <c r="G59" i="35"/>
  <c r="G66" i="35" s="1"/>
  <c r="G72" i="35" s="1"/>
  <c r="F7" i="66" s="1"/>
  <c r="Z7" i="66" s="1"/>
  <c r="Q75" i="65"/>
  <c r="H59" i="35"/>
  <c r="H66" i="35" s="1"/>
  <c r="H72" i="35" s="1"/>
  <c r="G7" i="66" s="1"/>
  <c r="I59" i="35"/>
  <c r="I66" i="35" s="1"/>
  <c r="I72" i="35" s="1"/>
  <c r="H7" i="66" s="1"/>
  <c r="I59" i="64"/>
  <c r="I66" i="64" s="1"/>
  <c r="Q97" i="43"/>
  <c r="Q101" i="43"/>
  <c r="R49" i="43"/>
  <c r="M8" i="35" s="1"/>
  <c r="K58" i="35"/>
  <c r="K16" i="35"/>
  <c r="L16" i="64"/>
  <c r="Q47" i="43"/>
  <c r="L7" i="35" s="1"/>
  <c r="Q15" i="65"/>
  <c r="Q52" i="65" s="1"/>
  <c r="L7" i="64" s="1"/>
  <c r="M4" i="35"/>
  <c r="M47" i="35" s="1"/>
  <c r="R4" i="25"/>
  <c r="R44" i="43"/>
  <c r="M5" i="35"/>
  <c r="L6" i="66" s="1"/>
  <c r="AF6" i="66" s="1"/>
  <c r="M68" i="35"/>
  <c r="J9" i="35"/>
  <c r="L8" i="35"/>
  <c r="R48" i="43"/>
  <c r="R13" i="43"/>
  <c r="R50" i="43"/>
  <c r="P96" i="43"/>
  <c r="Q23" i="43"/>
  <c r="R22" i="43"/>
  <c r="R26" i="65" s="1"/>
  <c r="R106" i="65" s="1"/>
  <c r="R91" i="43"/>
  <c r="R65" i="43"/>
  <c r="R41" i="43"/>
  <c r="K9" i="64" l="1"/>
  <c r="K9" i="35"/>
  <c r="K57" i="35" s="1"/>
  <c r="K62" i="35" s="1"/>
  <c r="P52" i="43"/>
  <c r="P51" i="43"/>
  <c r="P56" i="65"/>
  <c r="R12" i="43"/>
  <c r="R46" i="43" s="1"/>
  <c r="M6" i="35" s="1"/>
  <c r="Q46" i="43"/>
  <c r="L6" i="35" s="1"/>
  <c r="L9" i="35" s="1"/>
  <c r="H72" i="64"/>
  <c r="Q7" i="66"/>
  <c r="AA7" i="66" s="1"/>
  <c r="S7" i="66"/>
  <c r="Q52" i="43"/>
  <c r="J57" i="35"/>
  <c r="J59" i="35" s="1"/>
  <c r="J66" i="35" s="1"/>
  <c r="J72" i="35" s="1"/>
  <c r="I7" i="66" s="1"/>
  <c r="I8" i="66"/>
  <c r="AC8" i="66" s="1"/>
  <c r="I72" i="64"/>
  <c r="R7" i="66"/>
  <c r="AB7" i="66" s="1"/>
  <c r="K57" i="64"/>
  <c r="K59" i="64" s="1"/>
  <c r="K66" i="64" s="1"/>
  <c r="T8" i="66"/>
  <c r="J8" i="66"/>
  <c r="M16" i="64"/>
  <c r="L16" i="35"/>
  <c r="L6" i="64"/>
  <c r="L9" i="64" s="1"/>
  <c r="Q57" i="65"/>
  <c r="Q56" i="65"/>
  <c r="R97" i="43"/>
  <c r="R101" i="43"/>
  <c r="R47" i="43"/>
  <c r="M7" i="35" s="1"/>
  <c r="R15" i="65"/>
  <c r="R52" i="65" s="1"/>
  <c r="M7" i="64" s="1"/>
  <c r="R75" i="65"/>
  <c r="Q51" i="43"/>
  <c r="Q96" i="43"/>
  <c r="R23" i="43"/>
  <c r="R94" i="43" s="1"/>
  <c r="Q94" i="43"/>
  <c r="Q70" i="43" s="1"/>
  <c r="R13" i="65" l="1"/>
  <c r="R51" i="65" s="1"/>
  <c r="M6" i="64" s="1"/>
  <c r="M9" i="64" s="1"/>
  <c r="J62" i="35"/>
  <c r="AD8" i="66"/>
  <c r="AC7" i="66"/>
  <c r="R70" i="43"/>
  <c r="K62" i="64"/>
  <c r="L57" i="35"/>
  <c r="L62" i="35" s="1"/>
  <c r="K8" i="66"/>
  <c r="K72" i="64"/>
  <c r="T7" i="66"/>
  <c r="L57" i="64"/>
  <c r="L62" i="64" s="1"/>
  <c r="U8" i="66"/>
  <c r="R52" i="43"/>
  <c r="M9" i="35"/>
  <c r="K59" i="35"/>
  <c r="K66" i="35" s="1"/>
  <c r="K72" i="35" s="1"/>
  <c r="J7" i="66" s="1"/>
  <c r="R51" i="43"/>
  <c r="M58" i="35"/>
  <c r="L58" i="35"/>
  <c r="M16" i="35"/>
  <c r="R57" i="65"/>
  <c r="R96" i="43"/>
  <c r="R56" i="65" l="1"/>
  <c r="AE8" i="66"/>
  <c r="L59" i="35"/>
  <c r="L66" i="35" s="1"/>
  <c r="L72" i="35" s="1"/>
  <c r="K7" i="66" s="1"/>
  <c r="AD7" i="66"/>
  <c r="M57" i="35"/>
  <c r="L8" i="66"/>
  <c r="M57" i="64"/>
  <c r="M62" i="64" s="1"/>
  <c r="V8" i="66"/>
  <c r="L59" i="64"/>
  <c r="L66" i="64" s="1"/>
  <c r="AF8" i="66" l="1"/>
  <c r="M59" i="64"/>
  <c r="M66" i="64" s="1"/>
  <c r="M72" i="64" s="1"/>
  <c r="L72" i="64"/>
  <c r="U7" i="66"/>
  <c r="AE7" i="66" s="1"/>
  <c r="M62" i="35"/>
  <c r="M59" i="35"/>
  <c r="M66" i="35" s="1"/>
  <c r="M72" i="35" s="1"/>
  <c r="L7" i="66" s="1"/>
  <c r="E74" i="35"/>
  <c r="K54" i="43"/>
  <c r="K17" i="43" s="1"/>
  <c r="J56" i="43"/>
  <c r="E11" i="35"/>
  <c r="V7" i="66" l="1"/>
  <c r="AF7" i="66" s="1"/>
  <c r="F11" i="35"/>
  <c r="F74" i="35"/>
  <c r="K56" i="43"/>
  <c r="E75" i="35"/>
  <c r="E76" i="35" s="1"/>
  <c r="F75" i="35"/>
  <c r="F76" i="35" s="1"/>
  <c r="E18" i="66" s="1"/>
  <c r="L17" i="43"/>
  <c r="M17" i="43" s="1"/>
  <c r="J58" i="43"/>
  <c r="L25" i="43" l="1"/>
  <c r="L29" i="65" s="1"/>
  <c r="L100" i="65" s="1"/>
  <c r="N17" i="43"/>
  <c r="O17" i="43" s="1"/>
  <c r="E12" i="35"/>
  <c r="E13" i="35" s="1"/>
  <c r="K58" i="43"/>
  <c r="K18" i="43" s="1"/>
  <c r="J60" i="43"/>
  <c r="J93" i="43" s="1"/>
  <c r="J61" i="43" l="1"/>
  <c r="L102" i="43"/>
  <c r="M25" i="43"/>
  <c r="M29" i="65" s="1"/>
  <c r="M100" i="65" s="1"/>
  <c r="P17" i="43"/>
  <c r="Q17" i="43" s="1"/>
  <c r="F12" i="35"/>
  <c r="F13" i="35" s="1"/>
  <c r="K60" i="43"/>
  <c r="E9" i="66" l="1"/>
  <c r="F38" i="35"/>
  <c r="J84" i="43"/>
  <c r="K84" i="43" s="1"/>
  <c r="K61" i="43"/>
  <c r="K62" i="43" s="1"/>
  <c r="K63" i="43" s="1"/>
  <c r="L103" i="43"/>
  <c r="L72" i="43"/>
  <c r="K19" i="43"/>
  <c r="J62" i="43"/>
  <c r="J63" i="43" s="1"/>
  <c r="M102" i="43"/>
  <c r="M103" i="43" s="1"/>
  <c r="N25" i="43"/>
  <c r="F41" i="35"/>
  <c r="R17" i="43"/>
  <c r="K93" i="43"/>
  <c r="L18" i="43"/>
  <c r="J108" i="43" l="1"/>
  <c r="N102" i="43"/>
  <c r="N29" i="65"/>
  <c r="N100" i="65" s="1"/>
  <c r="F43" i="35"/>
  <c r="E12" i="66"/>
  <c r="F40" i="35"/>
  <c r="M72" i="43"/>
  <c r="N72" i="43" s="1"/>
  <c r="L19" i="43"/>
  <c r="M19" i="43" s="1"/>
  <c r="N19" i="43" s="1"/>
  <c r="O19" i="43" s="1"/>
  <c r="P19" i="43" s="1"/>
  <c r="O25" i="43"/>
  <c r="O29" i="65" s="1"/>
  <c r="O100" i="65" s="1"/>
  <c r="M18" i="43"/>
  <c r="K108" i="43" l="1"/>
  <c r="K27" i="43" s="1"/>
  <c r="L27" i="43" s="1"/>
  <c r="L32" i="65" s="1"/>
  <c r="Q19" i="43"/>
  <c r="R19" i="43" s="1"/>
  <c r="O102" i="43"/>
  <c r="O103" i="43" s="1"/>
  <c r="P25" i="43"/>
  <c r="N103" i="43"/>
  <c r="M27" i="43"/>
  <c r="M32" i="65" s="1"/>
  <c r="N18" i="43"/>
  <c r="P102" i="43" l="1"/>
  <c r="P29" i="65"/>
  <c r="P100" i="65" s="1"/>
  <c r="O72" i="43"/>
  <c r="P72" i="43" s="1"/>
  <c r="Q25" i="43"/>
  <c r="P103" i="43"/>
  <c r="N27" i="43"/>
  <c r="N32" i="65" s="1"/>
  <c r="O18" i="43"/>
  <c r="R25" i="43" l="1"/>
  <c r="R29" i="65" s="1"/>
  <c r="R100" i="65" s="1"/>
  <c r="Q29" i="65"/>
  <c r="Q100" i="65" s="1"/>
  <c r="Q102" i="43"/>
  <c r="Q72" i="43" s="1"/>
  <c r="O27" i="43"/>
  <c r="O32" i="65" s="1"/>
  <c r="P18" i="43"/>
  <c r="Q18" i="43" s="1"/>
  <c r="R18" i="43" s="1"/>
  <c r="Q103" i="43" l="1"/>
  <c r="P27" i="43"/>
  <c r="P32" i="65" s="1"/>
  <c r="R102" i="43"/>
  <c r="R72" i="43" s="1"/>
  <c r="R54" i="43"/>
  <c r="M74" i="35" s="1"/>
  <c r="L54" i="43"/>
  <c r="G74" i="35" s="1"/>
  <c r="Q54" i="43"/>
  <c r="L74" i="35" s="1"/>
  <c r="P54" i="43"/>
  <c r="K74" i="35" s="1"/>
  <c r="O54" i="43"/>
  <c r="J74" i="35" s="1"/>
  <c r="N54" i="43"/>
  <c r="I74" i="35" s="1"/>
  <c r="M54" i="43"/>
  <c r="H74" i="35" s="1"/>
  <c r="J109" i="43"/>
  <c r="Q27" i="43" l="1"/>
  <c r="Q32" i="65" s="1"/>
  <c r="J83" i="43"/>
  <c r="E52" i="35" s="1"/>
  <c r="R103" i="43"/>
  <c r="R27" i="43"/>
  <c r="R32" i="65" s="1"/>
  <c r="K11" i="35"/>
  <c r="H11" i="35"/>
  <c r="I11" i="35"/>
  <c r="J11" i="35"/>
  <c r="L11" i="35"/>
  <c r="G11" i="35"/>
  <c r="M11" i="35"/>
  <c r="K109" i="43"/>
  <c r="K83" i="43"/>
  <c r="J85" i="43"/>
  <c r="K85" i="43" l="1"/>
  <c r="F52" i="35"/>
  <c r="J95" i="43" l="1"/>
  <c r="K95" i="43" l="1"/>
  <c r="K98" i="43" s="1"/>
  <c r="J98" i="43"/>
  <c r="K21" i="43" l="1"/>
  <c r="K3" i="25" l="1"/>
  <c r="K49" i="25" s="1"/>
  <c r="K24" i="25" s="1"/>
  <c r="L21" i="43"/>
  <c r="L69" i="43" s="1"/>
  <c r="L24" i="65"/>
  <c r="E15" i="35"/>
  <c r="E17" i="35" s="1"/>
  <c r="J31" i="43"/>
  <c r="J32" i="43" s="1"/>
  <c r="J34" i="43" s="1"/>
  <c r="J106" i="43" s="1"/>
  <c r="K106" i="43" s="1"/>
  <c r="F15" i="35"/>
  <c r="F17" i="35" s="1"/>
  <c r="L95" i="43"/>
  <c r="M21" i="43"/>
  <c r="M69" i="43" s="1"/>
  <c r="J76" i="43" l="1"/>
  <c r="E48" i="35" s="1"/>
  <c r="E56" i="35" s="1"/>
  <c r="L3" i="25"/>
  <c r="L49" i="25" s="1"/>
  <c r="L24" i="25" s="1"/>
  <c r="M3" i="25"/>
  <c r="M49" i="25" s="1"/>
  <c r="M24" i="25" s="1"/>
  <c r="M24" i="65"/>
  <c r="L3" i="67"/>
  <c r="L49" i="67" s="1"/>
  <c r="L74" i="65"/>
  <c r="E10" i="66"/>
  <c r="J112" i="43"/>
  <c r="J116" i="43" s="1"/>
  <c r="J68" i="43" s="1"/>
  <c r="N21" i="43"/>
  <c r="J81" i="43" l="1"/>
  <c r="K76" i="43"/>
  <c r="F48" i="35" s="1"/>
  <c r="F56" i="35" s="1"/>
  <c r="N24" i="65"/>
  <c r="N3" i="67" s="1"/>
  <c r="N49" i="67" s="1"/>
  <c r="N69" i="43"/>
  <c r="J73" i="43"/>
  <c r="K68" i="43"/>
  <c r="K81" i="43"/>
  <c r="M3" i="67"/>
  <c r="M49" i="67" s="1"/>
  <c r="M74" i="65"/>
  <c r="L101" i="65"/>
  <c r="K31" i="43"/>
  <c r="K32" i="43" s="1"/>
  <c r="K34" i="43" s="1"/>
  <c r="J7" i="25"/>
  <c r="M95" i="43"/>
  <c r="O21" i="43"/>
  <c r="O69" i="43" s="1"/>
  <c r="N3" i="25"/>
  <c r="N49" i="25" s="1"/>
  <c r="N24" i="25" s="1"/>
  <c r="J37" i="43"/>
  <c r="J38" i="43" s="1"/>
  <c r="J39" i="43" s="1"/>
  <c r="K112" i="43"/>
  <c r="K116" i="43" s="1"/>
  <c r="K29" i="43"/>
  <c r="L29" i="43" s="1"/>
  <c r="K7" i="25" l="1"/>
  <c r="N74" i="65"/>
  <c r="N101" i="65" s="1"/>
  <c r="K11" i="25"/>
  <c r="J50" i="25"/>
  <c r="K73" i="43"/>
  <c r="M101" i="65"/>
  <c r="K19" i="28"/>
  <c r="K22" i="28" s="1"/>
  <c r="K23" i="28" s="1"/>
  <c r="K24" i="28" s="1"/>
  <c r="K25" i="28" s="1"/>
  <c r="K29" i="28" s="1"/>
  <c r="O3" i="25"/>
  <c r="O49" i="25" s="1"/>
  <c r="O24" i="25" s="1"/>
  <c r="O24" i="65"/>
  <c r="E60" i="35"/>
  <c r="N95" i="43"/>
  <c r="P21" i="43"/>
  <c r="P69" i="43" s="1"/>
  <c r="E53" i="35"/>
  <c r="E54" i="35" s="1"/>
  <c r="E49" i="35"/>
  <c r="E50" i="35" s="1"/>
  <c r="K37" i="43"/>
  <c r="K38" i="43" s="1"/>
  <c r="K39" i="43" s="1"/>
  <c r="L55" i="43" s="1"/>
  <c r="M29" i="43"/>
  <c r="L111" i="43"/>
  <c r="J87" i="43"/>
  <c r="J89" i="43" s="1"/>
  <c r="L19" i="28" l="1"/>
  <c r="L22" i="28" s="1"/>
  <c r="L23" i="28" s="1"/>
  <c r="L24" i="28" s="1"/>
  <c r="L25" i="28" s="1"/>
  <c r="L29" i="28" s="1"/>
  <c r="F53" i="35"/>
  <c r="F54" i="35" s="1"/>
  <c r="P95" i="43"/>
  <c r="P24" i="65"/>
  <c r="E86" i="65"/>
  <c r="E92" i="65" s="1"/>
  <c r="E94" i="65" s="1"/>
  <c r="O3" i="67"/>
  <c r="O49" i="67" s="1"/>
  <c r="O74" i="65"/>
  <c r="O95" i="43"/>
  <c r="P3" i="25"/>
  <c r="P49" i="25" s="1"/>
  <c r="P24" i="25" s="1"/>
  <c r="Q21" i="43"/>
  <c r="Q69" i="43" s="1"/>
  <c r="G63" i="35"/>
  <c r="G10" i="35"/>
  <c r="L56" i="43"/>
  <c r="K87" i="43"/>
  <c r="K89" i="43" s="1"/>
  <c r="N29" i="43"/>
  <c r="M111" i="43"/>
  <c r="F60" i="35" l="1"/>
  <c r="E15" i="66" s="1"/>
  <c r="F49" i="35"/>
  <c r="F50" i="35" s="1"/>
  <c r="O101" i="65"/>
  <c r="R21" i="43"/>
  <c r="R69" i="43" s="1"/>
  <c r="Q24" i="65"/>
  <c r="F86" i="65"/>
  <c r="F92" i="65" s="1"/>
  <c r="F94" i="65" s="1"/>
  <c r="P3" i="67"/>
  <c r="P49" i="67" s="1"/>
  <c r="P74" i="65"/>
  <c r="Q3" i="25"/>
  <c r="Q49" i="25" s="1"/>
  <c r="Q24" i="25" s="1"/>
  <c r="N111" i="43"/>
  <c r="O29" i="43"/>
  <c r="L58" i="43"/>
  <c r="L60" i="43" s="1"/>
  <c r="L93" i="43" s="1"/>
  <c r="G73" i="35"/>
  <c r="G75" i="35" s="1"/>
  <c r="G76" i="35" s="1"/>
  <c r="F18" i="66" s="1"/>
  <c r="G67" i="35"/>
  <c r="G69" i="35" s="1"/>
  <c r="G70" i="35" s="1"/>
  <c r="F17" i="66" s="1"/>
  <c r="G64" i="35"/>
  <c r="F16" i="66" s="1"/>
  <c r="G86" i="65" l="1"/>
  <c r="G92" i="65" s="1"/>
  <c r="G94" i="65" s="1"/>
  <c r="Q3" i="67"/>
  <c r="Q49" i="67" s="1"/>
  <c r="Q74" i="65"/>
  <c r="Q101" i="65" s="1"/>
  <c r="R3" i="25"/>
  <c r="R49" i="25" s="1"/>
  <c r="R24" i="25" s="1"/>
  <c r="R24" i="65"/>
  <c r="R95" i="43"/>
  <c r="P101" i="65"/>
  <c r="L61" i="43"/>
  <c r="L84" i="43" s="1"/>
  <c r="Q95" i="43"/>
  <c r="P29" i="43"/>
  <c r="O111" i="43"/>
  <c r="G12" i="35"/>
  <c r="G13" i="35" s="1"/>
  <c r="F9" i="66" s="1"/>
  <c r="L62" i="43" l="1"/>
  <c r="L98" i="43" s="1"/>
  <c r="R3" i="67"/>
  <c r="R49" i="67" s="1"/>
  <c r="R74" i="65"/>
  <c r="R101" i="65" s="1"/>
  <c r="H86" i="65"/>
  <c r="H92" i="65" s="1"/>
  <c r="H94" i="65" s="1"/>
  <c r="P111" i="43"/>
  <c r="Q29" i="43"/>
  <c r="L108" i="43" l="1"/>
  <c r="L109" i="43"/>
  <c r="L31" i="43" s="1"/>
  <c r="L32" i="43" s="1"/>
  <c r="L34" i="43" s="1"/>
  <c r="L106" i="43" s="1"/>
  <c r="L63" i="43"/>
  <c r="G15" i="35"/>
  <c r="G17" i="35" s="1"/>
  <c r="F10" i="66" s="1"/>
  <c r="R29" i="43"/>
  <c r="R111" i="43" s="1"/>
  <c r="Q111" i="43"/>
  <c r="L83" i="43" l="1"/>
  <c r="L76" i="43"/>
  <c r="J82" i="65"/>
  <c r="J20" i="67" s="1"/>
  <c r="J24" i="67" s="1"/>
  <c r="I86" i="65"/>
  <c r="I92" i="65" s="1"/>
  <c r="I94" i="65" s="1"/>
  <c r="G19" i="35"/>
  <c r="G52" i="35"/>
  <c r="L85" i="43"/>
  <c r="L112" i="43"/>
  <c r="L116" i="43" s="1"/>
  <c r="G48" i="35" l="1"/>
  <c r="G56" i="35" s="1"/>
  <c r="L81" i="43"/>
  <c r="K82" i="65"/>
  <c r="J112" i="65"/>
  <c r="L68" i="43"/>
  <c r="L7" i="25" s="1"/>
  <c r="L11" i="25" s="1"/>
  <c r="G78" i="35" s="1"/>
  <c r="G82" i="35" s="1"/>
  <c r="L37" i="43"/>
  <c r="L38" i="43" s="1"/>
  <c r="L39" i="43" s="1"/>
  <c r="M55" i="43" s="1"/>
  <c r="L82" i="65" l="1"/>
  <c r="L20" i="67" s="1"/>
  <c r="K20" i="67"/>
  <c r="K24" i="67" s="1"/>
  <c r="L24" i="67" s="1"/>
  <c r="J116" i="65"/>
  <c r="K112" i="65"/>
  <c r="M82" i="65"/>
  <c r="M20" i="67" s="1"/>
  <c r="L112" i="65"/>
  <c r="L73" i="43"/>
  <c r="M19" i="28"/>
  <c r="M22" i="28" s="1"/>
  <c r="M23" i="28" s="1"/>
  <c r="M24" i="28" s="1"/>
  <c r="M25" i="28" s="1"/>
  <c r="H63" i="35"/>
  <c r="M56" i="43"/>
  <c r="H10" i="35"/>
  <c r="L87" i="43"/>
  <c r="L89" i="43" s="1"/>
  <c r="M24" i="67" l="1"/>
  <c r="N82" i="65"/>
  <c r="N20" i="67" s="1"/>
  <c r="M112" i="65"/>
  <c r="K116" i="65"/>
  <c r="M29" i="28"/>
  <c r="G60" i="35"/>
  <c r="F15" i="66" s="1"/>
  <c r="G49" i="35"/>
  <c r="G50" i="35" s="1"/>
  <c r="G53" i="35"/>
  <c r="G54" i="35" s="1"/>
  <c r="M58" i="43"/>
  <c r="H64" i="35"/>
  <c r="G16" i="66" s="1"/>
  <c r="H67" i="35"/>
  <c r="H69" i="35" s="1"/>
  <c r="H70" i="35" s="1"/>
  <c r="G17" i="66" s="1"/>
  <c r="H73" i="35"/>
  <c r="H75" i="35" s="1"/>
  <c r="H76" i="35" s="1"/>
  <c r="G18" i="66" s="1"/>
  <c r="N24" i="67" l="1"/>
  <c r="E52" i="64"/>
  <c r="K88" i="65"/>
  <c r="J90" i="65"/>
  <c r="O82" i="65"/>
  <c r="O20" i="67" s="1"/>
  <c r="N112" i="65"/>
  <c r="H12" i="35"/>
  <c r="H13" i="35" s="1"/>
  <c r="G9" i="66" s="1"/>
  <c r="M60" i="43"/>
  <c r="M93" i="43" s="1"/>
  <c r="O24" i="67" l="1"/>
  <c r="P82" i="65"/>
  <c r="P20" i="67" s="1"/>
  <c r="O112" i="65"/>
  <c r="F52" i="64"/>
  <c r="K90" i="65"/>
  <c r="M61" i="43"/>
  <c r="M84" i="43" s="1"/>
  <c r="M62" i="43" l="1"/>
  <c r="M63" i="43" s="1"/>
  <c r="M98" i="43"/>
  <c r="P24" i="67"/>
  <c r="Q24" i="67" s="1"/>
  <c r="Q82" i="65"/>
  <c r="Q20" i="67" s="1"/>
  <c r="P112" i="65"/>
  <c r="M109" i="43" l="1"/>
  <c r="M108" i="43"/>
  <c r="M83" i="43"/>
  <c r="H52" i="35" s="1"/>
  <c r="R82" i="65"/>
  <c r="Q112" i="65"/>
  <c r="M31" i="43"/>
  <c r="H15" i="35"/>
  <c r="H17" i="35" s="1"/>
  <c r="G10" i="66" s="1"/>
  <c r="M32" i="43"/>
  <c r="M34" i="43" s="1"/>
  <c r="M106" i="43" s="1"/>
  <c r="M76" i="43" s="1"/>
  <c r="H48" i="35" s="1"/>
  <c r="H56" i="35" s="1"/>
  <c r="R112" i="65" l="1"/>
  <c r="R20" i="67"/>
  <c r="R24" i="67" s="1"/>
  <c r="M81" i="43"/>
  <c r="H19" i="35"/>
  <c r="M85" i="43"/>
  <c r="M112" i="43"/>
  <c r="M116" i="43" s="1"/>
  <c r="M68" i="43" l="1"/>
  <c r="M37" i="43"/>
  <c r="M38" i="43" s="1"/>
  <c r="M39" i="43" s="1"/>
  <c r="N55" i="43" s="1"/>
  <c r="M73" i="43" l="1"/>
  <c r="M7" i="25"/>
  <c r="M11" i="25" s="1"/>
  <c r="H78" i="35" s="1"/>
  <c r="H82" i="35" s="1"/>
  <c r="N19" i="28"/>
  <c r="N22" i="28" s="1"/>
  <c r="N23" i="28" s="1"/>
  <c r="N24" i="28" s="1"/>
  <c r="N25" i="28" s="1"/>
  <c r="M87" i="43"/>
  <c r="N56" i="43"/>
  <c r="I10" i="35"/>
  <c r="I63" i="35"/>
  <c r="M89" i="43" l="1"/>
  <c r="N29" i="28"/>
  <c r="H60" i="35"/>
  <c r="G15" i="66" s="1"/>
  <c r="H53" i="35"/>
  <c r="H54" i="35" s="1"/>
  <c r="H49" i="35"/>
  <c r="H50" i="35" s="1"/>
  <c r="N58" i="43"/>
  <c r="I64" i="35"/>
  <c r="H16" i="66" s="1"/>
  <c r="I67" i="35"/>
  <c r="I69" i="35" s="1"/>
  <c r="I70" i="35" s="1"/>
  <c r="H17" i="66" s="1"/>
  <c r="I73" i="35"/>
  <c r="I75" i="35" s="1"/>
  <c r="I76" i="35" s="1"/>
  <c r="H18" i="66" s="1"/>
  <c r="I12" i="35" l="1"/>
  <c r="I13" i="35" s="1"/>
  <c r="H9" i="66" s="1"/>
  <c r="N60" i="43"/>
  <c r="N93" i="43" s="1"/>
  <c r="N61" i="43" l="1"/>
  <c r="N84" i="43" s="1"/>
  <c r="N62" i="43" l="1"/>
  <c r="N98" i="43" s="1"/>
  <c r="N108" i="43" l="1"/>
  <c r="N109" i="43"/>
  <c r="N83" i="43"/>
  <c r="I52" i="35" s="1"/>
  <c r="N63" i="43"/>
  <c r="N31" i="43"/>
  <c r="N32" i="43" s="1"/>
  <c r="N34" i="43" s="1"/>
  <c r="N106" i="43" s="1"/>
  <c r="N76" i="43" s="1"/>
  <c r="I48" i="35" s="1"/>
  <c r="I56" i="35" s="1"/>
  <c r="I15" i="35"/>
  <c r="I17" i="35" s="1"/>
  <c r="N81" i="43" l="1"/>
  <c r="N85" i="43"/>
  <c r="I19" i="35"/>
  <c r="H10" i="66"/>
  <c r="N112" i="43"/>
  <c r="N116" i="43" s="1"/>
  <c r="N68" i="43" l="1"/>
  <c r="N37" i="43"/>
  <c r="N38" i="43" s="1"/>
  <c r="N39" i="43" s="1"/>
  <c r="O55" i="43" s="1"/>
  <c r="N73" i="43" l="1"/>
  <c r="N7" i="25"/>
  <c r="N11" i="25" s="1"/>
  <c r="I78" i="35" s="1"/>
  <c r="I82" i="35" s="1"/>
  <c r="O19" i="28"/>
  <c r="O22" i="28" s="1"/>
  <c r="O23" i="28" s="1"/>
  <c r="O24" i="28" s="1"/>
  <c r="O25" i="28" s="1"/>
  <c r="N87" i="43"/>
  <c r="O56" i="43"/>
  <c r="J63" i="35"/>
  <c r="J10" i="35"/>
  <c r="N89" i="43" l="1"/>
  <c r="O29" i="28"/>
  <c r="I60" i="35"/>
  <c r="H15" i="66" s="1"/>
  <c r="I53" i="35"/>
  <c r="I54" i="35" s="1"/>
  <c r="I49" i="35"/>
  <c r="I50" i="35" s="1"/>
  <c r="O58" i="43"/>
  <c r="O60" i="43" s="1"/>
  <c r="O93" i="43" s="1"/>
  <c r="J64" i="35"/>
  <c r="I16" i="66" s="1"/>
  <c r="J67" i="35"/>
  <c r="J69" i="35" s="1"/>
  <c r="J70" i="35" s="1"/>
  <c r="I17" i="66" s="1"/>
  <c r="J73" i="35"/>
  <c r="J75" i="35" s="1"/>
  <c r="J76" i="35" s="1"/>
  <c r="I18" i="66" s="1"/>
  <c r="O61" i="43" l="1"/>
  <c r="O84" i="43" s="1"/>
  <c r="J12" i="35"/>
  <c r="J13" i="35" s="1"/>
  <c r="I9" i="66" s="1"/>
  <c r="O62" i="43" l="1"/>
  <c r="O63" i="43"/>
  <c r="O98" i="43"/>
  <c r="O109" i="43"/>
  <c r="O108" i="43"/>
  <c r="O83" i="43" l="1"/>
  <c r="O31" i="43"/>
  <c r="J15" i="35"/>
  <c r="J17" i="35" s="1"/>
  <c r="J52" i="35"/>
  <c r="O32" i="43"/>
  <c r="O34" i="43" s="1"/>
  <c r="O106" i="43" s="1"/>
  <c r="O76" i="43" s="1"/>
  <c r="J48" i="35" s="1"/>
  <c r="J56" i="35" s="1"/>
  <c r="O81" i="43" l="1"/>
  <c r="J19" i="35"/>
  <c r="I10" i="66"/>
  <c r="O85" i="43"/>
  <c r="O112" i="43"/>
  <c r="O116" i="43" s="1"/>
  <c r="O68" i="43" l="1"/>
  <c r="O37" i="43"/>
  <c r="O38" i="43" s="1"/>
  <c r="O39" i="43" s="1"/>
  <c r="P55" i="43" s="1"/>
  <c r="O73" i="43" l="1"/>
  <c r="O7" i="25"/>
  <c r="O11" i="25" s="1"/>
  <c r="J78" i="35" s="1"/>
  <c r="J82" i="35" s="1"/>
  <c r="P19" i="28"/>
  <c r="P22" i="28" s="1"/>
  <c r="P23" i="28" s="1"/>
  <c r="P24" i="28" s="1"/>
  <c r="P25" i="28" s="1"/>
  <c r="O87" i="43"/>
  <c r="K63" i="35"/>
  <c r="K10" i="35"/>
  <c r="P56" i="43"/>
  <c r="O89" i="43" l="1"/>
  <c r="P29" i="28"/>
  <c r="J60" i="35"/>
  <c r="I15" i="66" s="1"/>
  <c r="J53" i="35"/>
  <c r="J54" i="35" s="1"/>
  <c r="J49" i="35"/>
  <c r="J50" i="35" s="1"/>
  <c r="K64" i="35"/>
  <c r="J16" i="66" s="1"/>
  <c r="K73" i="35"/>
  <c r="K75" i="35" s="1"/>
  <c r="K76" i="35" s="1"/>
  <c r="J18" i="66" s="1"/>
  <c r="K67" i="35"/>
  <c r="K69" i="35" s="1"/>
  <c r="K70" i="35" s="1"/>
  <c r="J17" i="66" s="1"/>
  <c r="P58" i="43"/>
  <c r="P60" i="43" s="1"/>
  <c r="P93" i="43" s="1"/>
  <c r="P61" i="43" l="1"/>
  <c r="P84" i="43" s="1"/>
  <c r="K12" i="35"/>
  <c r="K13" i="35" s="1"/>
  <c r="J9" i="66" s="1"/>
  <c r="P62" i="43" l="1"/>
  <c r="P98" i="43"/>
  <c r="P108" i="43"/>
  <c r="P109" i="43"/>
  <c r="P83" i="43" l="1"/>
  <c r="P85" i="43" s="1"/>
  <c r="P63" i="43"/>
  <c r="P31" i="43"/>
  <c r="P32" i="43" s="1"/>
  <c r="P34" i="43" s="1"/>
  <c r="P106" i="43" s="1"/>
  <c r="P76" i="43" s="1"/>
  <c r="K48" i="35" s="1"/>
  <c r="K56" i="35" s="1"/>
  <c r="K15" i="35"/>
  <c r="K17" i="35" s="1"/>
  <c r="J10" i="66" s="1"/>
  <c r="P81" i="43" l="1"/>
  <c r="K52" i="35"/>
  <c r="K19" i="35"/>
  <c r="P112" i="43"/>
  <c r="P116" i="43" s="1"/>
  <c r="P68" i="43" l="1"/>
  <c r="P37" i="43"/>
  <c r="P38" i="43" s="1"/>
  <c r="P39" i="43" s="1"/>
  <c r="Q55" i="43" s="1"/>
  <c r="P73" i="43" l="1"/>
  <c r="P7" i="25"/>
  <c r="P11" i="25" s="1"/>
  <c r="K78" i="35" s="1"/>
  <c r="K82" i="35" s="1"/>
  <c r="Q19" i="28"/>
  <c r="Q22" i="28" s="1"/>
  <c r="Q23" i="28" s="1"/>
  <c r="Q24" i="28" s="1"/>
  <c r="Q25" i="28" s="1"/>
  <c r="P87" i="43"/>
  <c r="L10" i="35"/>
  <c r="Q56" i="43"/>
  <c r="L63" i="35"/>
  <c r="P89" i="43" l="1"/>
  <c r="Q29" i="28"/>
  <c r="K60" i="35"/>
  <c r="J15" i="66" s="1"/>
  <c r="K53" i="35"/>
  <c r="K54" i="35" s="1"/>
  <c r="K49" i="35"/>
  <c r="K50" i="35" s="1"/>
  <c r="Q58" i="43"/>
  <c r="L73" i="35"/>
  <c r="L75" i="35" s="1"/>
  <c r="L76" i="35" s="1"/>
  <c r="K18" i="66" s="1"/>
  <c r="L64" i="35"/>
  <c r="K16" i="66" s="1"/>
  <c r="L67" i="35"/>
  <c r="L69" i="35" s="1"/>
  <c r="L70" i="35" s="1"/>
  <c r="K17" i="66" s="1"/>
  <c r="L12" i="35" l="1"/>
  <c r="L13" i="35" s="1"/>
  <c r="K9" i="66" s="1"/>
  <c r="Q60" i="43"/>
  <c r="Q93" i="43" s="1"/>
  <c r="Q61" i="43" l="1"/>
  <c r="Q84" i="43" s="1"/>
  <c r="Q62" i="43" l="1"/>
  <c r="Q63" i="43"/>
  <c r="Q98" i="43"/>
  <c r="Q109" i="43"/>
  <c r="Q108" i="43"/>
  <c r="Q83" i="43" l="1"/>
  <c r="Q31" i="43"/>
  <c r="Q32" i="43" s="1"/>
  <c r="Q34" i="43" s="1"/>
  <c r="Q106" i="43" s="1"/>
  <c r="Q76" i="43" s="1"/>
  <c r="L48" i="35" s="1"/>
  <c r="L56" i="35" s="1"/>
  <c r="L15" i="35"/>
  <c r="L17" i="35" s="1"/>
  <c r="Q81" i="43" l="1"/>
  <c r="L19" i="35"/>
  <c r="K10" i="66"/>
  <c r="Q85" i="43"/>
  <c r="Q112" i="43"/>
  <c r="Q116" i="43" s="1"/>
  <c r="Q68" i="43" l="1"/>
  <c r="L52" i="35"/>
  <c r="Q37" i="43"/>
  <c r="Q38" i="43" s="1"/>
  <c r="Q39" i="43" s="1"/>
  <c r="R55" i="43" s="1"/>
  <c r="Q73" i="43" l="1"/>
  <c r="Q7" i="25"/>
  <c r="Q11" i="25" s="1"/>
  <c r="L78" i="35" s="1"/>
  <c r="L82" i="35" s="1"/>
  <c r="M63" i="35"/>
  <c r="M10" i="35"/>
  <c r="R56" i="43"/>
  <c r="Q87" i="43"/>
  <c r="Q89" i="43" s="1"/>
  <c r="L60" i="35" l="1"/>
  <c r="K15" i="66" s="1"/>
  <c r="L49" i="35"/>
  <c r="L50" i="35" s="1"/>
  <c r="L53" i="35"/>
  <c r="L54" i="35" s="1"/>
  <c r="R58" i="43"/>
  <c r="R60" i="43" s="1"/>
  <c r="R93" i="43" s="1"/>
  <c r="M64" i="35"/>
  <c r="L16" i="66" s="1"/>
  <c r="M73" i="35"/>
  <c r="M75" i="35" s="1"/>
  <c r="M76" i="35" s="1"/>
  <c r="L18" i="66" s="1"/>
  <c r="M67" i="35"/>
  <c r="M69" i="35" s="1"/>
  <c r="M70" i="35" s="1"/>
  <c r="L17" i="66" s="1"/>
  <c r="R61" i="43" l="1"/>
  <c r="R84" i="43" s="1"/>
  <c r="M12" i="35"/>
  <c r="M13" i="35" s="1"/>
  <c r="L9" i="66" s="1"/>
  <c r="R62" i="43" l="1"/>
  <c r="M31" i="35"/>
  <c r="R63" i="43"/>
  <c r="R98" i="43"/>
  <c r="R108" i="43"/>
  <c r="R109" i="43"/>
  <c r="R83" i="43" l="1"/>
  <c r="R31" i="43"/>
  <c r="M15" i="35"/>
  <c r="M17" i="35" s="1"/>
  <c r="L10" i="66" s="1"/>
  <c r="R32" i="43"/>
  <c r="R34" i="43" s="1"/>
  <c r="R106" i="43" s="1"/>
  <c r="R76" i="43" s="1"/>
  <c r="R81" i="43" l="1"/>
  <c r="M48" i="35"/>
  <c r="M28" i="35" s="1"/>
  <c r="M19" i="35"/>
  <c r="M22" i="35" s="1"/>
  <c r="M23" i="35" s="1"/>
  <c r="M52" i="35"/>
  <c r="R85" i="43"/>
  <c r="M24" i="35"/>
  <c r="R112" i="43"/>
  <c r="R116" i="43" s="1"/>
  <c r="M56" i="35" l="1"/>
  <c r="R68" i="43"/>
  <c r="R73" i="43" s="1"/>
  <c r="R37" i="43"/>
  <c r="R38" i="43" s="1"/>
  <c r="R39" i="43" s="1"/>
  <c r="M29" i="35"/>
  <c r="R7" i="25" l="1"/>
  <c r="R11" i="25" s="1"/>
  <c r="M78" i="35" s="1"/>
  <c r="M82" i="35" s="1"/>
  <c r="M25" i="35"/>
  <c r="R87" i="43"/>
  <c r="R89" i="43" s="1"/>
  <c r="M49" i="35" l="1"/>
  <c r="M50" i="35" s="1"/>
  <c r="M60" i="35"/>
  <c r="L15" i="66" s="1"/>
  <c r="M30" i="35"/>
  <c r="M53" i="35"/>
  <c r="M54" i="35" s="1"/>
  <c r="M27" i="35"/>
  <c r="M32" i="35" l="1"/>
  <c r="E11" i="66" s="1"/>
  <c r="M34" i="35" l="1"/>
  <c r="M36" i="35" s="1"/>
  <c r="F44" i="35" s="1"/>
  <c r="K77" i="65" l="1"/>
  <c r="K108" i="65" l="1"/>
  <c r="J108" i="65"/>
  <c r="J36" i="65" s="1"/>
  <c r="J37" i="65" l="1"/>
  <c r="J39" i="65" s="1"/>
  <c r="J111" i="65" s="1"/>
  <c r="J81" i="65" l="1"/>
  <c r="K111" i="65"/>
  <c r="J117" i="65"/>
  <c r="J121" i="65" s="1"/>
  <c r="J73" i="65" s="1"/>
  <c r="J7" i="67" s="1"/>
  <c r="J11" i="67" s="1"/>
  <c r="E78" i="64" l="1"/>
  <c r="E82" i="64" s="1"/>
  <c r="E48" i="64"/>
  <c r="E56" i="64" s="1"/>
  <c r="E60" i="64" s="1"/>
  <c r="K36" i="65"/>
  <c r="K37" i="65" s="1"/>
  <c r="K39" i="65" s="1"/>
  <c r="J78" i="65"/>
  <c r="K73" i="65"/>
  <c r="K34" i="65"/>
  <c r="L34" i="65" s="1"/>
  <c r="K117" i="65"/>
  <c r="K121" i="65" s="1"/>
  <c r="J42" i="65"/>
  <c r="J43" i="65" s="1"/>
  <c r="J44" i="65" s="1"/>
  <c r="K81" i="65"/>
  <c r="J86" i="65"/>
  <c r="J92" i="65" s="1"/>
  <c r="F48" i="64" l="1"/>
  <c r="E49" i="64"/>
  <c r="E50" i="64" s="1"/>
  <c r="E53" i="64"/>
  <c r="E54" i="64" s="1"/>
  <c r="K7" i="67"/>
  <c r="K11" i="67" s="1"/>
  <c r="F78" i="64" s="1"/>
  <c r="F82" i="64" s="1"/>
  <c r="K86" i="65"/>
  <c r="K92" i="65" s="1"/>
  <c r="K42" i="65"/>
  <c r="K43" i="65" s="1"/>
  <c r="K44" i="65" s="1"/>
  <c r="L60" i="65" s="1"/>
  <c r="L116" i="65"/>
  <c r="M34" i="65"/>
  <c r="K78" i="65"/>
  <c r="J94" i="65"/>
  <c r="F56" i="64" l="1"/>
  <c r="F60" i="64" s="1"/>
  <c r="O15" i="66" s="1"/>
  <c r="F49" i="64"/>
  <c r="F50" i="64" s="1"/>
  <c r="F53" i="64"/>
  <c r="F54" i="64" s="1"/>
  <c r="K94" i="65"/>
  <c r="N34" i="65"/>
  <c r="O34" i="65" s="1"/>
  <c r="M116" i="65"/>
  <c r="G10" i="64"/>
  <c r="G63" i="64"/>
  <c r="L61" i="65"/>
  <c r="L63" i="65" l="1"/>
  <c r="G12" i="64" s="1"/>
  <c r="G64" i="64"/>
  <c r="P16" i="66" s="1"/>
  <c r="G73" i="64"/>
  <c r="G75" i="64" s="1"/>
  <c r="G76" i="64" s="1"/>
  <c r="P18" i="66" s="1"/>
  <c r="G67" i="64"/>
  <c r="G69" i="64" s="1"/>
  <c r="G70" i="64" s="1"/>
  <c r="P17" i="66" s="1"/>
  <c r="G13" i="64"/>
  <c r="P9" i="66" s="1"/>
  <c r="Z9" i="66" s="1"/>
  <c r="N116" i="65"/>
  <c r="L65" i="65" l="1"/>
  <c r="L66" i="65" s="1"/>
  <c r="P34" i="65"/>
  <c r="O116" i="65"/>
  <c r="L67" i="65" l="1"/>
  <c r="L68" i="65" s="1"/>
  <c r="L98" i="65"/>
  <c r="L103" i="65" s="1"/>
  <c r="P116" i="65"/>
  <c r="Q34" i="65"/>
  <c r="L113" i="65" l="1"/>
  <c r="L88" i="65" s="1"/>
  <c r="L114" i="65"/>
  <c r="G15" i="64"/>
  <c r="G17" i="64" s="1"/>
  <c r="Q116" i="65"/>
  <c r="R34" i="65"/>
  <c r="R116" i="65" s="1"/>
  <c r="G52" i="64" l="1"/>
  <c r="G19" i="64"/>
  <c r="P10" i="66"/>
  <c r="Z10" i="66" s="1"/>
  <c r="N108" i="65"/>
  <c r="O108" i="65"/>
  <c r="P108" i="65"/>
  <c r="Q108" i="65"/>
  <c r="R108" i="65"/>
  <c r="M108" i="65"/>
  <c r="L108" i="65"/>
  <c r="L36" i="65" s="1"/>
  <c r="L90" i="65" l="1"/>
  <c r="L37" i="65"/>
  <c r="L39" i="65" s="1"/>
  <c r="L111" i="65" s="1"/>
  <c r="L77" i="65"/>
  <c r="M77" i="65" s="1"/>
  <c r="N77" i="65" s="1"/>
  <c r="O77" i="65" s="1"/>
  <c r="P77" i="65" s="1"/>
  <c r="Q77" i="65" s="1"/>
  <c r="R77" i="65" s="1"/>
  <c r="L81" i="65" l="1"/>
  <c r="L117" i="65"/>
  <c r="L121" i="65" s="1"/>
  <c r="L73" i="65" s="1"/>
  <c r="G48" i="64" l="1"/>
  <c r="L7" i="67"/>
  <c r="L11" i="67" s="1"/>
  <c r="L78" i="65"/>
  <c r="L42" i="65"/>
  <c r="L43" i="65" s="1"/>
  <c r="L44" i="65" s="1"/>
  <c r="M60" i="65" s="1"/>
  <c r="L86" i="65"/>
  <c r="L92" i="65" s="1"/>
  <c r="G78" i="64" l="1"/>
  <c r="G82" i="64" s="1"/>
  <c r="G56" i="64"/>
  <c r="G60" i="64" s="1"/>
  <c r="P15" i="66" s="1"/>
  <c r="G53" i="64"/>
  <c r="G54" i="64" s="1"/>
  <c r="G49" i="64"/>
  <c r="G50" i="64" s="1"/>
  <c r="H10" i="64"/>
  <c r="M61" i="65"/>
  <c r="H63" i="64"/>
  <c r="L94" i="65"/>
  <c r="H73" i="64" l="1"/>
  <c r="H75" i="64" s="1"/>
  <c r="H76" i="64" s="1"/>
  <c r="Q18" i="66" s="1"/>
  <c r="H67" i="64"/>
  <c r="H69" i="64" s="1"/>
  <c r="H70" i="64" s="1"/>
  <c r="Q17" i="66" s="1"/>
  <c r="H64" i="64"/>
  <c r="Q16" i="66" s="1"/>
  <c r="M63" i="65"/>
  <c r="H12" i="64" s="1"/>
  <c r="H13" i="64" s="1"/>
  <c r="Q9" i="66" s="1"/>
  <c r="AA9" i="66" s="1"/>
  <c r="M65" i="65" l="1"/>
  <c r="M66" i="65" s="1"/>
  <c r="M89" i="65" s="1"/>
  <c r="M98" i="65" l="1"/>
  <c r="M67" i="65"/>
  <c r="M103" i="65" l="1"/>
  <c r="M113" i="65"/>
  <c r="M68" i="65"/>
  <c r="M114" i="65"/>
  <c r="H15" i="64"/>
  <c r="H17" i="64" s="1"/>
  <c r="M36" i="65" l="1"/>
  <c r="M37" i="65" s="1"/>
  <c r="M39" i="65" s="1"/>
  <c r="M111" i="65" s="1"/>
  <c r="M88" i="65"/>
  <c r="H19" i="64"/>
  <c r="Q10" i="66"/>
  <c r="AA10" i="66" s="1"/>
  <c r="M117" i="65"/>
  <c r="M121" i="65" s="1"/>
  <c r="M73" i="65" s="1"/>
  <c r="M7" i="67" s="1"/>
  <c r="M11" i="67" s="1"/>
  <c r="M81" i="65"/>
  <c r="H78" i="64" l="1"/>
  <c r="H82" i="64" s="1"/>
  <c r="H48" i="64"/>
  <c r="H52" i="64"/>
  <c r="M90" i="65"/>
  <c r="M78" i="65"/>
  <c r="M42" i="65"/>
  <c r="M43" i="65" s="1"/>
  <c r="M44" i="65" s="1"/>
  <c r="N60" i="65" s="1"/>
  <c r="M86" i="65"/>
  <c r="H56" i="64" l="1"/>
  <c r="H60" i="64" s="1"/>
  <c r="Q15" i="66" s="1"/>
  <c r="M92" i="65"/>
  <c r="H49" i="64"/>
  <c r="H50" i="64" s="1"/>
  <c r="H53" i="64"/>
  <c r="H54" i="64" s="1"/>
  <c r="N61" i="65"/>
  <c r="I10" i="64"/>
  <c r="I63" i="64"/>
  <c r="M94" i="65"/>
  <c r="I64" i="64" l="1"/>
  <c r="R16" i="66" s="1"/>
  <c r="I67" i="64"/>
  <c r="I69" i="64" s="1"/>
  <c r="I70" i="64" s="1"/>
  <c r="R17" i="66" s="1"/>
  <c r="I73" i="64"/>
  <c r="I75" i="64" s="1"/>
  <c r="I76" i="64" s="1"/>
  <c r="R18" i="66" s="1"/>
  <c r="N63" i="65"/>
  <c r="I12" i="64" s="1"/>
  <c r="I13" i="64" s="1"/>
  <c r="R9" i="66" s="1"/>
  <c r="AB9" i="66" s="1"/>
  <c r="N65" i="65" l="1"/>
  <c r="N66" i="65" s="1"/>
  <c r="N89" i="65" s="1"/>
  <c r="N67" i="65" l="1"/>
  <c r="N68" i="65" s="1"/>
  <c r="N98" i="65"/>
  <c r="N103" i="65" l="1"/>
  <c r="N114" i="65"/>
  <c r="N113" i="65"/>
  <c r="I15" i="64"/>
  <c r="I17" i="64" s="1"/>
  <c r="N88" i="65" l="1"/>
  <c r="N36" i="65"/>
  <c r="N37" i="65" s="1"/>
  <c r="N39" i="65" s="1"/>
  <c r="N90" i="65"/>
  <c r="I19" i="64"/>
  <c r="R10" i="66"/>
  <c r="AB10" i="66" s="1"/>
  <c r="N111" i="65" l="1"/>
  <c r="N81" i="65" s="1"/>
  <c r="I48" i="64" s="1"/>
  <c r="I56" i="64" s="1"/>
  <c r="I52" i="64"/>
  <c r="I49" i="64" l="1"/>
  <c r="I50" i="64" s="1"/>
  <c r="N86" i="65"/>
  <c r="N92" i="65" s="1"/>
  <c r="N117" i="65"/>
  <c r="N121" i="65" s="1"/>
  <c r="N73" i="65" s="1"/>
  <c r="N7" i="67" s="1"/>
  <c r="N11" i="67" s="1"/>
  <c r="I53" i="64"/>
  <c r="I54" i="64" s="1"/>
  <c r="N42" i="65"/>
  <c r="N43" i="65" s="1"/>
  <c r="N44" i="65" s="1"/>
  <c r="O60" i="65" s="1"/>
  <c r="O61" i="65" s="1"/>
  <c r="I78" i="64" l="1"/>
  <c r="I82" i="64" s="1"/>
  <c r="I60" i="64"/>
  <c r="R15" i="66" s="1"/>
  <c r="N78" i="65"/>
  <c r="N94" i="65" s="1"/>
  <c r="J10" i="64"/>
  <c r="J63" i="64"/>
  <c r="J73" i="64" s="1"/>
  <c r="J75" i="64" s="1"/>
  <c r="J76" i="64" s="1"/>
  <c r="S18" i="66" s="1"/>
  <c r="O63" i="65"/>
  <c r="J12" i="64" s="1"/>
  <c r="J13" i="64" l="1"/>
  <c r="S9" i="66" s="1"/>
  <c r="AC9" i="66" s="1"/>
  <c r="J67" i="64"/>
  <c r="J69" i="64" s="1"/>
  <c r="J70" i="64" s="1"/>
  <c r="S17" i="66" s="1"/>
  <c r="J64" i="64"/>
  <c r="S16" i="66" s="1"/>
  <c r="O65" i="65"/>
  <c r="O66" i="65" s="1"/>
  <c r="O89" i="65" s="1"/>
  <c r="O67" i="65" l="1"/>
  <c r="O68" i="65" s="1"/>
  <c r="O98" i="65"/>
  <c r="O103" i="65" l="1"/>
  <c r="O114" i="65"/>
  <c r="O113" i="65"/>
  <c r="O88" i="65" s="1"/>
  <c r="O36" i="65" l="1"/>
  <c r="O37" i="65" s="1"/>
  <c r="O39" i="65" s="1"/>
  <c r="O111" i="65" s="1"/>
  <c r="J52" i="64"/>
  <c r="J15" i="64"/>
  <c r="J17" i="64" s="1"/>
  <c r="J19" i="64" l="1"/>
  <c r="S10" i="66"/>
  <c r="AC10" i="66" s="1"/>
  <c r="O90" i="65"/>
  <c r="O117" i="65"/>
  <c r="O121" i="65" s="1"/>
  <c r="O73" i="65" s="1"/>
  <c r="O81" i="65"/>
  <c r="J48" i="64" l="1"/>
  <c r="J56" i="64" s="1"/>
  <c r="O7" i="67"/>
  <c r="O11" i="67" s="1"/>
  <c r="O86" i="65"/>
  <c r="O92" i="65" s="1"/>
  <c r="O42" i="65"/>
  <c r="O43" i="65" s="1"/>
  <c r="O44" i="65" s="1"/>
  <c r="P60" i="65" s="1"/>
  <c r="O78" i="65"/>
  <c r="J78" i="64" l="1"/>
  <c r="J82" i="64" s="1"/>
  <c r="J53" i="64"/>
  <c r="J54" i="64" s="1"/>
  <c r="J49" i="64"/>
  <c r="J50" i="64" s="1"/>
  <c r="J60" i="64"/>
  <c r="S15" i="66" s="1"/>
  <c r="O94" i="65"/>
  <c r="P61" i="65"/>
  <c r="K63" i="64"/>
  <c r="K10" i="64"/>
  <c r="K73" i="64" l="1"/>
  <c r="K75" i="64" s="1"/>
  <c r="K76" i="64" s="1"/>
  <c r="T18" i="66" s="1"/>
  <c r="K64" i="64"/>
  <c r="T16" i="66" s="1"/>
  <c r="K67" i="64"/>
  <c r="K69" i="64" s="1"/>
  <c r="K70" i="64" s="1"/>
  <c r="T17" i="66" s="1"/>
  <c r="P63" i="65"/>
  <c r="K12" i="64" s="1"/>
  <c r="K13" i="64" s="1"/>
  <c r="T9" i="66" s="1"/>
  <c r="AD9" i="66" s="1"/>
  <c r="P65" i="65" l="1"/>
  <c r="P66" i="65" s="1"/>
  <c r="P89" i="65" s="1"/>
  <c r="P98" i="65" l="1"/>
  <c r="P67" i="65"/>
  <c r="P68" i="65" s="1"/>
  <c r="P113" i="65" l="1"/>
  <c r="P114" i="65"/>
  <c r="P103" i="65"/>
  <c r="P88" i="65" l="1"/>
  <c r="P90" i="65" s="1"/>
  <c r="P36" i="65"/>
  <c r="P37" i="65" s="1"/>
  <c r="P39" i="65" s="1"/>
  <c r="P111" i="65" s="1"/>
  <c r="K15" i="64"/>
  <c r="K17" i="64" s="1"/>
  <c r="K52" i="64" l="1"/>
  <c r="K19" i="64"/>
  <c r="T10" i="66"/>
  <c r="AD10" i="66" s="1"/>
  <c r="P117" i="65"/>
  <c r="P121" i="65" s="1"/>
  <c r="P73" i="65" s="1"/>
  <c r="P81" i="65"/>
  <c r="K48" i="64" l="1"/>
  <c r="P7" i="67"/>
  <c r="P11" i="67" s="1"/>
  <c r="P42" i="65"/>
  <c r="P43" i="65" s="1"/>
  <c r="P44" i="65" s="1"/>
  <c r="Q60" i="65" s="1"/>
  <c r="P86" i="65"/>
  <c r="P92" i="65" s="1"/>
  <c r="P78" i="65"/>
  <c r="K78" i="64" l="1"/>
  <c r="K82" i="64" s="1"/>
  <c r="K53" i="64"/>
  <c r="K54" i="64" s="1"/>
  <c r="K56" i="64"/>
  <c r="K60" i="64" s="1"/>
  <c r="T15" i="66" s="1"/>
  <c r="K49" i="64"/>
  <c r="K50" i="64" s="1"/>
  <c r="P94" i="65"/>
  <c r="L63" i="64"/>
  <c r="L10" i="64"/>
  <c r="Q61" i="65"/>
  <c r="Q63" i="65" l="1"/>
  <c r="L12" i="64" s="1"/>
  <c r="L13" i="64" s="1"/>
  <c r="U9" i="66" s="1"/>
  <c r="AE9" i="66" s="1"/>
  <c r="L67" i="64"/>
  <c r="L69" i="64" s="1"/>
  <c r="L70" i="64" s="1"/>
  <c r="U17" i="66" s="1"/>
  <c r="L64" i="64"/>
  <c r="U16" i="66" s="1"/>
  <c r="L73" i="64"/>
  <c r="L75" i="64" s="1"/>
  <c r="L76" i="64" s="1"/>
  <c r="U18" i="66" s="1"/>
  <c r="Q65" i="65" l="1"/>
  <c r="Q66" i="65" s="1"/>
  <c r="Q89" i="65" s="1"/>
  <c r="Q67" i="65" l="1"/>
  <c r="Q68" i="65" s="1"/>
  <c r="Q98" i="65"/>
  <c r="Q103" i="65" l="1"/>
  <c r="Q113" i="65"/>
  <c r="Q114" i="65"/>
  <c r="L15" i="64"/>
  <c r="L17" i="64" s="1"/>
  <c r="Q88" i="65" l="1"/>
  <c r="Q36" i="65"/>
  <c r="Q37" i="65" s="1"/>
  <c r="Q39" i="65" s="1"/>
  <c r="Q111" i="65" s="1"/>
  <c r="Q117" i="65" s="1"/>
  <c r="Q121" i="65" s="1"/>
  <c r="Q73" i="65" s="1"/>
  <c r="L19" i="64"/>
  <c r="U10" i="66"/>
  <c r="AE10" i="66" s="1"/>
  <c r="Q7" i="67" l="1"/>
  <c r="Q11" i="67" s="1"/>
  <c r="Q81" i="65"/>
  <c r="L48" i="64" s="1"/>
  <c r="L52" i="64"/>
  <c r="Q90" i="65"/>
  <c r="Q78" i="65"/>
  <c r="L78" i="64" l="1"/>
  <c r="L82" i="64" s="1"/>
  <c r="L56" i="64"/>
  <c r="L60" i="64" s="1"/>
  <c r="U15" i="66" s="1"/>
  <c r="Q86" i="65"/>
  <c r="Q92" i="65" s="1"/>
  <c r="Q94" i="65" s="1"/>
  <c r="Q42" i="65"/>
  <c r="Q43" i="65" s="1"/>
  <c r="Q44" i="65" s="1"/>
  <c r="R60" i="65" s="1"/>
  <c r="M63" i="64" s="1"/>
  <c r="L49" i="64"/>
  <c r="L50" i="64" s="1"/>
  <c r="L53" i="64"/>
  <c r="L54" i="64" s="1"/>
  <c r="R61" i="65" l="1"/>
  <c r="R63" i="65" s="1"/>
  <c r="M12" i="64" s="1"/>
  <c r="M10" i="64"/>
  <c r="M73" i="64"/>
  <c r="M75" i="64" s="1"/>
  <c r="M76" i="64" s="1"/>
  <c r="V18" i="66" s="1"/>
  <c r="M64" i="64"/>
  <c r="V16" i="66" s="1"/>
  <c r="M67" i="64"/>
  <c r="M69" i="64" s="1"/>
  <c r="M70" i="64" s="1"/>
  <c r="V17" i="66" s="1"/>
  <c r="M13" i="64" l="1"/>
  <c r="V9" i="66" s="1"/>
  <c r="AF9" i="66" s="1"/>
  <c r="R65" i="65"/>
  <c r="R66" i="65" s="1"/>
  <c r="R89" i="65" s="1"/>
  <c r="M31" i="64" s="1"/>
  <c r="R67" i="65" l="1"/>
  <c r="R68" i="65" s="1"/>
  <c r="R98" i="65"/>
  <c r="R103" i="65" l="1"/>
  <c r="R113" i="65"/>
  <c r="R114" i="65"/>
  <c r="R88" i="65" l="1"/>
  <c r="R36" i="65"/>
  <c r="R37" i="65" s="1"/>
  <c r="R39" i="65" s="1"/>
  <c r="R111" i="65" s="1"/>
  <c r="R90" i="65"/>
  <c r="M15" i="64"/>
  <c r="M17" i="64" s="1"/>
  <c r="M52" i="64" l="1"/>
  <c r="M19" i="64"/>
  <c r="V10" i="66"/>
  <c r="AF10" i="66" s="1"/>
  <c r="R117" i="65"/>
  <c r="R121" i="65" s="1"/>
  <c r="R73" i="65" s="1"/>
  <c r="R81" i="65"/>
  <c r="M22" i="64" l="1"/>
  <c r="M23" i="64" s="1"/>
  <c r="M24" i="64"/>
  <c r="M48" i="64"/>
  <c r="R7" i="67"/>
  <c r="R11" i="67" s="1"/>
  <c r="M78" i="64" s="1"/>
  <c r="M82" i="64" s="1"/>
  <c r="M29" i="64"/>
  <c r="R78" i="65"/>
  <c r="R86" i="65"/>
  <c r="R92" i="65" s="1"/>
  <c r="R42" i="65"/>
  <c r="R43" i="65" s="1"/>
  <c r="R44" i="65" s="1"/>
  <c r="M25" i="64" l="1"/>
  <c r="M27" i="64" s="1"/>
  <c r="M56" i="64"/>
  <c r="M60" i="64" s="1"/>
  <c r="V15" i="66" s="1"/>
  <c r="M28" i="64"/>
  <c r="M30" i="64" s="1"/>
  <c r="M32" i="64" s="1"/>
  <c r="M53" i="64"/>
  <c r="M54" i="64" s="1"/>
  <c r="M49" i="64"/>
  <c r="M50" i="64" s="1"/>
  <c r="R94" i="65"/>
  <c r="M34" i="64" l="1"/>
  <c r="M36" i="64" s="1"/>
  <c r="F44" i="64" s="1"/>
  <c r="O11" i="66"/>
  <c r="F79" i="35" l="1"/>
  <c r="F85" i="35" s="1"/>
  <c r="E79" i="35"/>
  <c r="E85" i="35" s="1"/>
  <c r="G79" i="35" l="1"/>
  <c r="G85" i="35" s="1"/>
  <c r="E83" i="35"/>
  <c r="E84" i="35" s="1"/>
  <c r="E86" i="35" s="1"/>
  <c r="K50" i="25"/>
  <c r="L50" i="25"/>
  <c r="E80" i="35"/>
  <c r="F80" i="35" l="1"/>
  <c r="E19" i="66" s="1"/>
  <c r="H79" i="35"/>
  <c r="H85" i="35" s="1"/>
  <c r="F83" i="35"/>
  <c r="F84" i="35" s="1"/>
  <c r="F86" i="35" s="1"/>
  <c r="E20" i="66" s="1"/>
  <c r="M50" i="25"/>
  <c r="G80" i="35" l="1"/>
  <c r="F19" i="66" s="1"/>
  <c r="I79" i="35"/>
  <c r="I85" i="35" s="1"/>
  <c r="G83" i="35"/>
  <c r="N50" i="25"/>
  <c r="G84" i="35" l="1"/>
  <c r="G86" i="35" s="1"/>
  <c r="F20" i="66" s="1"/>
  <c r="H80" i="35"/>
  <c r="G19" i="66" s="1"/>
  <c r="J79" i="35"/>
  <c r="J85" i="35" s="1"/>
  <c r="H83" i="35"/>
  <c r="H84" i="35" s="1"/>
  <c r="H86" i="35" s="1"/>
  <c r="G20" i="66" s="1"/>
  <c r="O50" i="25"/>
  <c r="I80" i="35" l="1"/>
  <c r="H19" i="66" s="1"/>
  <c r="K79" i="35"/>
  <c r="K85" i="35" s="1"/>
  <c r="I83" i="35"/>
  <c r="I84" i="35" s="1"/>
  <c r="I86" i="35" s="1"/>
  <c r="H20" i="66" s="1"/>
  <c r="P50" i="25"/>
  <c r="J80" i="35" l="1"/>
  <c r="I19" i="66" s="1"/>
  <c r="M79" i="35"/>
  <c r="M85" i="35" s="1"/>
  <c r="L79" i="35"/>
  <c r="L85" i="35" s="1"/>
  <c r="J83" i="35"/>
  <c r="J84" i="35" s="1"/>
  <c r="J86" i="35" s="1"/>
  <c r="I20" i="66" s="1"/>
  <c r="Q50" i="25"/>
  <c r="K80" i="35" l="1"/>
  <c r="J19" i="66" s="1"/>
  <c r="K83" i="35"/>
  <c r="R50" i="25"/>
  <c r="K84" i="35" l="1"/>
  <c r="K86" i="35" s="1"/>
  <c r="J20" i="66" s="1"/>
  <c r="L80" i="35"/>
  <c r="K19" i="66" s="1"/>
  <c r="M83" i="35"/>
  <c r="L83" i="35"/>
  <c r="E79" i="64"/>
  <c r="E85" i="64" s="1"/>
  <c r="J50" i="67"/>
  <c r="L84" i="35" l="1"/>
  <c r="L86" i="35" s="1"/>
  <c r="K20" i="66" s="1"/>
  <c r="E80" i="64"/>
  <c r="E83" i="64"/>
  <c r="E84" i="64" s="1"/>
  <c r="E86" i="64" s="1"/>
  <c r="F83" i="64"/>
  <c r="F84" i="64" s="1"/>
  <c r="F79" i="64"/>
  <c r="K50" i="67"/>
  <c r="M80" i="35" l="1"/>
  <c r="L19" i="66" s="1"/>
  <c r="M84" i="35"/>
  <c r="M86" i="35" s="1"/>
  <c r="L20" i="66" s="1"/>
  <c r="G79" i="64"/>
  <c r="L50" i="67"/>
  <c r="F80" i="64"/>
  <c r="O19" i="66" s="1"/>
  <c r="F85" i="64"/>
  <c r="F86" i="64" s="1"/>
  <c r="O20" i="66" s="1"/>
  <c r="G83" i="64"/>
  <c r="G84" i="64" s="1"/>
  <c r="G80" i="64" l="1"/>
  <c r="P19" i="66" s="1"/>
  <c r="G85" i="64"/>
  <c r="M50" i="67"/>
  <c r="H79" i="64"/>
  <c r="G86" i="64"/>
  <c r="P20" i="66" s="1"/>
  <c r="H83" i="64"/>
  <c r="H84" i="64" s="1"/>
  <c r="H85" i="64" l="1"/>
  <c r="H80" i="64"/>
  <c r="Q19" i="66" s="1"/>
  <c r="I83" i="64"/>
  <c r="I84" i="64" s="1"/>
  <c r="H86" i="64"/>
  <c r="Q20" i="66" s="1"/>
  <c r="N50" i="67"/>
  <c r="I79" i="64"/>
  <c r="I85" i="64" l="1"/>
  <c r="I80" i="64"/>
  <c r="R19" i="66" s="1"/>
  <c r="O50" i="67"/>
  <c r="J79" i="64"/>
  <c r="I86" i="64"/>
  <c r="R20" i="66" s="1"/>
  <c r="J83" i="64"/>
  <c r="J84" i="64" s="1"/>
  <c r="J80" i="64" l="1"/>
  <c r="S19" i="66" s="1"/>
  <c r="J85" i="64"/>
  <c r="J86" i="64" s="1"/>
  <c r="S20" i="66" s="1"/>
  <c r="K79" i="64"/>
  <c r="P50" i="67"/>
  <c r="K85" i="64" l="1"/>
  <c r="K80" i="64"/>
  <c r="T19" i="66" s="1"/>
  <c r="K83" i="64"/>
  <c r="K84" i="64" s="1"/>
  <c r="K86" i="64" s="1"/>
  <c r="T20" i="66" s="1"/>
  <c r="L79" i="64"/>
  <c r="Q50" i="67"/>
  <c r="L83" i="64"/>
  <c r="L84" i="64" s="1"/>
  <c r="L85" i="64" l="1"/>
  <c r="L80" i="64"/>
  <c r="U19" i="66" s="1"/>
  <c r="M83" i="64"/>
  <c r="M84" i="64" s="1"/>
  <c r="L86" i="64"/>
  <c r="U20" i="66" s="1"/>
  <c r="M79" i="64"/>
  <c r="R50" i="67"/>
  <c r="M80" i="64" l="1"/>
  <c r="V19" i="66" s="1"/>
  <c r="M85" i="64"/>
  <c r="M86" i="64" s="1"/>
  <c r="V20" i="6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<sst xmlns="http://schemas.openxmlformats.org/spreadsheetml/2006/main" count="1774" uniqueCount="382">
  <si>
    <t>Revenue</t>
  </si>
  <si>
    <t>Effective Date</t>
  </si>
  <si>
    <t>Rate Type</t>
  </si>
  <si>
    <t>Rate (%)</t>
  </si>
  <si>
    <t>1st Percentile (%)</t>
  </si>
  <si>
    <t>25th Percentile (%)</t>
  </si>
  <si>
    <t>75th Percentile (%)</t>
  </si>
  <si>
    <t>99th Percentile (%)</t>
  </si>
  <si>
    <t>Volume ($Billions)</t>
  </si>
  <si>
    <t>Target Rate From (%)</t>
  </si>
  <si>
    <t>Target Rate To (%)</t>
  </si>
  <si>
    <t>Intra Day - Low (%)</t>
  </si>
  <si>
    <t>Intra Day - High (%)</t>
  </si>
  <si>
    <t>Standard Deviation (%)</t>
  </si>
  <si>
    <t>30-Day Average SOFR</t>
  </si>
  <si>
    <t>90-Day Average SOFR</t>
  </si>
  <si>
    <t>180-Day Average SOFR</t>
  </si>
  <si>
    <t>SOFR Index</t>
  </si>
  <si>
    <t>Revision Indicator (Y/N)</t>
  </si>
  <si>
    <t>Footnote ID</t>
  </si>
  <si>
    <t>12/27/2024</t>
  </si>
  <si>
    <t>SOFR</t>
  </si>
  <si>
    <t/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</si>
  <si>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</si>
  <si>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</si>
  <si>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</si>
  <si>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</si>
  <si>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</si>
  <si>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</si>
  <si>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</si>
  <si>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</si>
  <si>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</si>
  <si>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12/12/2024</t>
  </si>
  <si>
    <t>12/11/2024</t>
  </si>
  <si>
    <t>12/10/2024</t>
  </si>
  <si>
    <t>12/09/2024</t>
  </si>
  <si>
    <t>12/06/2024</t>
  </si>
  <si>
    <t>12/05/2024</t>
  </si>
  <si>
    <t>12/04/2024</t>
  </si>
  <si>
    <t>12/03/2024</t>
  </si>
  <si>
    <t>12/02/2024</t>
  </si>
  <si>
    <t>11/29/2024</t>
  </si>
  <si>
    <t>11/27/2024</t>
  </si>
  <si>
    <t>11/26/2024</t>
  </si>
  <si>
    <t>11/25/2024</t>
  </si>
  <si>
    <t>11/22/2024</t>
  </si>
  <si>
    <t>11/21/2024</t>
  </si>
  <si>
    <t>Secured Overnight Financing Rate Data - FEDERAL RESERVE BANK of NEW YORK</t>
  </si>
  <si>
    <t>CONDENSED CONSOLIDATED BALANCE SHEETS</t>
  </si>
  <si>
    <t>June 1, 
 2024</t>
  </si>
  <si>
    <t>September 2, 
 2023</t>
  </si>
  <si>
    <t>(Unaudited)</t>
  </si>
  <si>
    <t>ASSETS</t>
  </si>
  <si>
    <t>Current Assets:</t>
  </si>
  <si>
    <t>Cash and cash equivalents</t>
  </si>
  <si>
    <t>Inventories</t>
  </si>
  <si>
    <t>Prepaid expenses and other current assets</t>
  </si>
  <si>
    <t>Total current assets</t>
  </si>
  <si>
    <t>Property, plant and equipment, net</t>
  </si>
  <si>
    <t>Goodwill</t>
  </si>
  <si>
    <t>Identifiable intangibles, net</t>
  </si>
  <si>
    <t>Operating lease assets</t>
  </si>
  <si>
    <t>Other assets</t>
  </si>
  <si>
    <t>Total assets</t>
  </si>
  <si>
    <t>LIABILITIES AND SHAREHOLDERS’ EQUITY</t>
  </si>
  <si>
    <t>Current Liabilities:</t>
  </si>
  <si>
    <t>Current portion of debt including obligations under finance leases</t>
  </si>
  <si>
    <t>Current portion of operating lease liabilities</t>
  </si>
  <si>
    <t>Accounts payable</t>
  </si>
  <si>
    <t>Accrued expenses and other current liabilities</t>
  </si>
  <si>
    <t>Total current liabilities</t>
  </si>
  <si>
    <t>Long-term debt including obligations under finance leases</t>
  </si>
  <si>
    <t>Noncurrent operating lease liabilities</t>
  </si>
  <si>
    <t>Deferred income taxes and tax uncertainties</t>
  </si>
  <si>
    <t>Total liabilities</t>
  </si>
  <si>
    <t>Commitments and Contingencies</t>
  </si>
  <si>
    <t>Shareholders’ Equity:</t>
  </si>
  <si>
    <t>MSC Industrial Shareholders’ Equity:</t>
  </si>
  <si>
    <t>—</t>
  </si>
  <si>
    <t>Additional paid-in capital</t>
  </si>
  <si>
    <t>Retained earnings</t>
  </si>
  <si>
    <t>Accumulated other comprehensive loss</t>
  </si>
  <si>
    <t>Total MSC Industrial shareholders’ equity</t>
  </si>
  <si>
    <t>Noncontrolling interest</t>
  </si>
  <si>
    <t>Total liabilities and shareholders’ equity</t>
  </si>
  <si>
    <t>CONDENSED CONSOLIDATED STATEMENTS OF INCOME</t>
  </si>
  <si>
    <t>Thirteen Weeks Ended</t>
  </si>
  <si>
    <t>Thirty-Nine Weeks Ended</t>
  </si>
  <si>
    <t>June 3, 
 2023</t>
  </si>
  <si>
    <t>Net sales</t>
  </si>
  <si>
    <t>Cost of goods sold</t>
  </si>
  <si>
    <t>Gross profit</t>
  </si>
  <si>
    <t>Operating expenses</t>
  </si>
  <si>
    <t>Restructuring and other costs</t>
  </si>
  <si>
    <t>Income from operations</t>
  </si>
  <si>
    <t>Other income (expense):</t>
  </si>
  <si>
    <t>Interest expense</t>
  </si>
  <si>
    <t>Interest income</t>
  </si>
  <si>
    <t>Total other expense</t>
  </si>
  <si>
    <t>Income before provision for income taxes</t>
  </si>
  <si>
    <t>Provision for income taxes</t>
  </si>
  <si>
    <t>Net income</t>
  </si>
  <si>
    <t>Net income attributable to MSC Industrial</t>
  </si>
  <si>
    <t>Per share data attributable to MSC Industrial:</t>
  </si>
  <si>
    <t>Net income per common share:</t>
  </si>
  <si>
    <t>Basic</t>
  </si>
  <si>
    <t>Diluted</t>
  </si>
  <si>
    <t>Weighted-average shares used in computing net income per common share:</t>
  </si>
  <si>
    <t>Consolidated Cash Flows</t>
  </si>
  <si>
    <t>Cash Flows from Operating Activities:</t>
  </si>
  <si>
    <t>Adjustments to reconcile net income to net cash provided by operating activities:</t>
  </si>
  <si>
    <t>Depreciation and amortization</t>
  </si>
  <si>
    <t>Amortization of cloud computing arrangements</t>
  </si>
  <si>
    <t>Non-cash operating lease cost</t>
  </si>
  <si>
    <t>Stock-based compensation</t>
  </si>
  <si>
    <t>Loss on disposal of property, plant and equipment</t>
  </si>
  <si>
    <t>Non-cash changes in fair value of estimated contingent consideration</t>
  </si>
  <si>
    <t>Provision for credit losses</t>
  </si>
  <si>
    <t>Expenditures for cloud computing arrangements</t>
  </si>
  <si>
    <t>Changes in operating assets and liabilities:</t>
  </si>
  <si>
    <t>Accounts receivable</t>
  </si>
  <si>
    <t>Operating lease liabilities</t>
  </si>
  <si>
    <t>Accounts payable and accrued liabilities</t>
  </si>
  <si>
    <t>Total adjustments</t>
  </si>
  <si>
    <t>Net cash provided by operating activities</t>
  </si>
  <si>
    <t>Cash Flows from Investing Activities:</t>
  </si>
  <si>
    <t>Expenditures for property, plant and equipment</t>
  </si>
  <si>
    <t>Net cash used in investing activities</t>
  </si>
  <si>
    <t>Cash Flows from Financing Activities:</t>
  </si>
  <si>
    <t>Payments of regular cash dividends</t>
  </si>
  <si>
    <t>Borrowings under credit facilities</t>
  </si>
  <si>
    <t>Payments under credit facilities</t>
  </si>
  <si>
    <t>Borrowings under financing obligations</t>
  </si>
  <si>
    <t>Payments under Shelf Facility Agreements and Private Placement Debt</t>
  </si>
  <si>
    <t>Proceeds from other long-term debt</t>
  </si>
  <si>
    <t>Other, net</t>
  </si>
  <si>
    <t>Net cash used in financing activities</t>
  </si>
  <si>
    <t>Effect of foreign exchange rate changes on cash and cash equivalents</t>
  </si>
  <si>
    <t>Cash and cash equivalents—beginning of period</t>
  </si>
  <si>
    <t>Cash and cash equivalents—end of period</t>
  </si>
  <si>
    <t>Supplemental Disclosure of Cash Flow Information:</t>
  </si>
  <si>
    <t>Cash paid for income taxes</t>
  </si>
  <si>
    <t>Cash paid for interest</t>
  </si>
  <si>
    <t>March 2, 
 2024</t>
  </si>
  <si>
    <t>Twenty-Six Weeks Ended</t>
  </si>
  <si>
    <t>March 4, 
 2023</t>
  </si>
  <si>
    <t>December 2, 
 2023</t>
  </si>
  <si>
    <t>December 3, 
 2022</t>
  </si>
  <si>
    <t>Cash used in business acquisitions, net of cash acquired</t>
  </si>
  <si>
    <t>CONSOLIDATED BALANCE SHEETS</t>
  </si>
  <si>
    <t>September 3, 
 2022</t>
  </si>
  <si>
    <t>CONSOLIDATED STATEMENTS OF INCOME</t>
  </si>
  <si>
    <t>For the Fiscal Years Ended</t>
  </si>
  <si>
    <t>August 28, 
 2021</t>
  </si>
  <si>
    <t>(52 weeks)</t>
  </si>
  <si>
    <t>(53 weeks)</t>
  </si>
  <si>
    <t>Impairment loss, net</t>
  </si>
  <si>
    <t>Gain on sale of property</t>
  </si>
  <si>
    <t>CONSOLIDATED STATEMENTS OF CASH FLOWS</t>
  </si>
  <si>
    <t>Inventory write-down</t>
  </si>
  <si>
    <t>Operating lease and fixed asset impairment due to restructuring</t>
  </si>
  <si>
    <t>Changes in operating assets and liabilities, net of amounts associated with business acquired:</t>
  </si>
  <si>
    <t>Net proceeds from sale of property</t>
  </si>
  <si>
    <t>Payments of special cash dividends</t>
  </si>
  <si>
    <t>Contributions from noncontrolling interest</t>
  </si>
  <si>
    <t>BALANCE SHEETS</t>
  </si>
  <si>
    <t>September 3,</t>
  </si>
  <si>
    <t>August 28,</t>
  </si>
  <si>
    <t>2022</t>
  </si>
  <si>
    <t>2021</t>
  </si>
  <si>
    <t>Other noncurrent liabilities</t>
  </si>
  <si>
    <t>Total shareholders' equity</t>
  </si>
  <si>
    <t>See accompanying Notes to Consolidated Financial Statements.</t>
  </si>
  <si>
    <t>CONSOLIDATED</t>
  </si>
  <si>
    <t>August 29,</t>
  </si>
  <si>
    <t>2020</t>
  </si>
  <si>
    <t>Other income (expense), net</t>
  </si>
  <si>
    <t>Less: Net income attributable to noncontrolling interest</t>
  </si>
  <si>
    <t>STATEMENTS OF CASH FLOWS</t>
  </si>
  <si>
    <t>Adjustments to reconcile net income to net cash provided by operating  
 ‎  activities:</t>
  </si>
  <si>
    <t>Changes in operating assets and liabilities, net of amounts associated  
 ‎  with business acquired:</t>
  </si>
  <si>
    <t>Repurchases of common stock</t>
  </si>
  <si>
    <t>Proceeds from sale of Class A Common Stock in connection with associate stock purchase plan</t>
  </si>
  <si>
    <t>Proceeds from exercise of Class A Common Stock options</t>
  </si>
  <si>
    <t>Payments on finance lease and financing obligations</t>
  </si>
  <si>
    <t>Net increase (decrease) in cash and cash equivalents</t>
  </si>
  <si>
    <t>Restructuring costs</t>
  </si>
  <si>
    <t>Less: Net income (loss) attributable to noncontrolling interest</t>
  </si>
  <si>
    <t>2019</t>
  </si>
  <si>
    <t>August 31,</t>
  </si>
  <si>
    <t>Proceeds from sale of available for sale securities</t>
  </si>
  <si>
    <t>FY20</t>
  </si>
  <si>
    <t>FY21</t>
  </si>
  <si>
    <t>FY22</t>
  </si>
  <si>
    <t>FY23</t>
  </si>
  <si>
    <t>Q4'24</t>
  </si>
  <si>
    <t>FY25</t>
  </si>
  <si>
    <t>FY26</t>
  </si>
  <si>
    <t>FY27</t>
  </si>
  <si>
    <t>FY28</t>
  </si>
  <si>
    <t>FY29</t>
  </si>
  <si>
    <t>FY30</t>
  </si>
  <si>
    <t>FY31</t>
  </si>
  <si>
    <t>Preferred Stock</t>
  </si>
  <si>
    <t>Q1'24</t>
  </si>
  <si>
    <t>Q2'24</t>
  </si>
  <si>
    <t>Q3'24</t>
  </si>
  <si>
    <t>Check</t>
  </si>
  <si>
    <t>Repurchases of Common Stock</t>
  </si>
  <si>
    <t>Class A treasury stock</t>
  </si>
  <si>
    <t>Class A Common Stock</t>
  </si>
  <si>
    <t>Class B Common Stock</t>
  </si>
  <si>
    <t>Basic Weighted Average</t>
  </si>
  <si>
    <t>Diluted Weighted Average</t>
  </si>
  <si>
    <t>Q1-24</t>
  </si>
  <si>
    <t>Q2-24</t>
  </si>
  <si>
    <t>Q3-24</t>
  </si>
  <si>
    <t>OpEx / Revenue</t>
  </si>
  <si>
    <t>Profit / Sales</t>
  </si>
  <si>
    <t>Provision / IBT</t>
  </si>
  <si>
    <t>CPI</t>
  </si>
  <si>
    <t>Net Income</t>
  </si>
  <si>
    <t>Implied Equity Value</t>
  </si>
  <si>
    <t>Free Cash Flow</t>
  </si>
  <si>
    <t>Total Debt</t>
  </si>
  <si>
    <t>Cash &amp; Cash Equivalents</t>
  </si>
  <si>
    <t>Minority Interest</t>
  </si>
  <si>
    <t>Net Debt</t>
  </si>
  <si>
    <t>Per-Share Value</t>
  </si>
  <si>
    <t>Operating Expenses</t>
  </si>
  <si>
    <t>EBIT</t>
  </si>
  <si>
    <t>Capital Expenditures</t>
  </si>
  <si>
    <t>Total Capitalization</t>
  </si>
  <si>
    <t>Debt-to-Capital</t>
  </si>
  <si>
    <t>Total Equity</t>
  </si>
  <si>
    <t>Equity-to-Capital</t>
  </si>
  <si>
    <t>Debt-to-EBITDA</t>
  </si>
  <si>
    <t>Interest Expense</t>
  </si>
  <si>
    <t>Interest Coverage</t>
  </si>
  <si>
    <t>Debt Service Coverage Ratio</t>
  </si>
  <si>
    <t>Current Assets</t>
  </si>
  <si>
    <t>Current Liabilities</t>
  </si>
  <si>
    <t>Depreciation &amp; Amortization</t>
  </si>
  <si>
    <t>Cost of Goods Sold</t>
  </si>
  <si>
    <t>Restructuring Costs</t>
  </si>
  <si>
    <t>Other Income (Expense)</t>
  </si>
  <si>
    <t>Taxes</t>
  </si>
  <si>
    <t>Net Interest</t>
  </si>
  <si>
    <t>Cash Flow Statement:</t>
  </si>
  <si>
    <t>Cash Flow from Operations:</t>
  </si>
  <si>
    <t>Net Income to Parent:</t>
  </si>
  <si>
    <t>(+) D&amp;A:</t>
  </si>
  <si>
    <t>Cash Flow from Investing:</t>
  </si>
  <si>
    <t>(-) CapEx:</t>
  </si>
  <si>
    <t>(-) Acquisitions &amp; Other:</t>
  </si>
  <si>
    <t>Cash Flow from Financing:</t>
  </si>
  <si>
    <t>(+/-) Change in Debt:</t>
  </si>
  <si>
    <t>(-) Common Dividends:</t>
  </si>
  <si>
    <t>(-) Stock Repurchases:</t>
  </si>
  <si>
    <t>(-) Dividends to NCI:</t>
  </si>
  <si>
    <t>(+/-) Other Items:</t>
  </si>
  <si>
    <t>FX Rate Effects:</t>
  </si>
  <si>
    <t>Net Change in Cash:</t>
  </si>
  <si>
    <t>Drivers:</t>
  </si>
  <si>
    <t>Growth Rate:</t>
  </si>
  <si>
    <t>OpEx % Revenue:</t>
  </si>
  <si>
    <t>Tax Rate:</t>
  </si>
  <si>
    <t>CapEx % Revenue:</t>
  </si>
  <si>
    <t>D&amp;A % Revenue:</t>
  </si>
  <si>
    <t>Dividends % Net Income:</t>
  </si>
  <si>
    <t>Other Items % Debt Issuances:</t>
  </si>
  <si>
    <t>Income Statement:</t>
  </si>
  <si>
    <t>Total Revenue:</t>
  </si>
  <si>
    <t>Operating Expenses:</t>
  </si>
  <si>
    <t>Operating Income:</t>
  </si>
  <si>
    <t>Other Income / (Expense):</t>
  </si>
  <si>
    <t>Interest Income / (Expense):</t>
  </si>
  <si>
    <t>Pre-Tax Income:</t>
  </si>
  <si>
    <t>Income Taxes:</t>
  </si>
  <si>
    <t>Net Income:</t>
  </si>
  <si>
    <t>(-) NCI Net Income:</t>
  </si>
  <si>
    <t>Balance Sheet:</t>
  </si>
  <si>
    <t>ASSETS:</t>
  </si>
  <si>
    <t>Cash:</t>
  </si>
  <si>
    <t>Net PP&amp;E, Goodwill &amp; Intangibles:</t>
  </si>
  <si>
    <t>Op. Lease Assets:</t>
  </si>
  <si>
    <t>Other Assets:</t>
  </si>
  <si>
    <t>Total Assets:</t>
  </si>
  <si>
    <t>LIABILITES &amp; EQUITY:</t>
  </si>
  <si>
    <t>Op. Lease Liabilities:</t>
  </si>
  <si>
    <t>Other Liabilities:</t>
  </si>
  <si>
    <t>Total Liabilities:</t>
  </si>
  <si>
    <t>Common Shareholders' Equity:</t>
  </si>
  <si>
    <t>Noncontrolling Interests:</t>
  </si>
  <si>
    <t>Total Equity:</t>
  </si>
  <si>
    <t>TOTAL LIABILITIES + EQUITY:</t>
  </si>
  <si>
    <t>Balance Check:</t>
  </si>
  <si>
    <t>Q4-24</t>
  </si>
  <si>
    <t>Impairment Loss:</t>
  </si>
  <si>
    <t>Restructuring Costs:</t>
  </si>
  <si>
    <t>Gain on Sale of Property:</t>
  </si>
  <si>
    <t>COGS % Revenue:</t>
  </si>
  <si>
    <t>Revenue:</t>
  </si>
  <si>
    <t>Market Size:</t>
  </si>
  <si>
    <t>Market Share %:</t>
  </si>
  <si>
    <t>Restructuring % of Revenue:</t>
  </si>
  <si>
    <t>Impairment % Revenue:</t>
  </si>
  <si>
    <t>Gain on Sale % Revenue:</t>
  </si>
  <si>
    <t>Cost of Sales:</t>
  </si>
  <si>
    <t>Stock Repurchases % Net Income:</t>
  </si>
  <si>
    <t>Long-Term Debt:</t>
  </si>
  <si>
    <t>(+/-) Revolver:</t>
  </si>
  <si>
    <t>Total Cash Flow Before Revolver</t>
  </si>
  <si>
    <t>Total Revolver Borrowing Needed</t>
  </si>
  <si>
    <t>Revolver:</t>
  </si>
  <si>
    <t>25k Minimum Cash Balance</t>
  </si>
  <si>
    <t>Revolver Borrowing to Zero</t>
  </si>
  <si>
    <t>Net Revolver Balance</t>
  </si>
  <si>
    <t>Revolver Maximum Balance</t>
  </si>
  <si>
    <t>Revolver Utilization</t>
  </si>
  <si>
    <t>50 Bps on Unutilized Revolver</t>
  </si>
  <si>
    <t>NWC:</t>
  </si>
  <si>
    <t>(+/-) Change in Leases:</t>
  </si>
  <si>
    <t>Terminal Value</t>
  </si>
  <si>
    <t>Growth Rate</t>
  </si>
  <si>
    <t>Current Ratio</t>
  </si>
  <si>
    <t>No change</t>
  </si>
  <si>
    <t>Annualized EBITDA</t>
  </si>
  <si>
    <t>Set to maintain capital structure</t>
  </si>
  <si>
    <t>SOFR + 3% on Long-Term Debt, 50 bps on unutilized Revolver</t>
  </si>
  <si>
    <t>Discounted Terminal Value</t>
  </si>
  <si>
    <t>Present Value of Cash Flows</t>
  </si>
  <si>
    <t>Enterprise Value</t>
  </si>
  <si>
    <t>ACTUALS</t>
  </si>
  <si>
    <t>FORECAST</t>
  </si>
  <si>
    <t>Fixed Charge Coverage Ratio</t>
  </si>
  <si>
    <t>EBITDA</t>
  </si>
  <si>
    <t>Total Debt Service</t>
  </si>
  <si>
    <t>Fixed Charges</t>
  </si>
  <si>
    <t>Other Expense</t>
  </si>
  <si>
    <t>(+/-) Change in NWC:</t>
  </si>
  <si>
    <t>Cash Flow from Operations</t>
  </si>
  <si>
    <t>Shares</t>
  </si>
  <si>
    <t>EPS</t>
  </si>
  <si>
    <t>Average Per-Share Value</t>
  </si>
  <si>
    <t>Weighted-Average Shares Outstanding</t>
  </si>
  <si>
    <t>Net Current Assets</t>
  </si>
  <si>
    <t>Quick Ratio</t>
  </si>
  <si>
    <t>1% Annual Amortization</t>
  </si>
  <si>
    <t>WACC (Given)</t>
  </si>
  <si>
    <t>Estimate based on historicals</t>
  </si>
  <si>
    <t>Other Items % Revenue:</t>
  </si>
  <si>
    <t>Margin Percentage</t>
  </si>
  <si>
    <t>NWC % Revenue:</t>
  </si>
  <si>
    <t>Other Income % Revenue:</t>
  </si>
  <si>
    <t>Market Capitalization</t>
  </si>
  <si>
    <t>NWC % Revenue</t>
  </si>
  <si>
    <t>Estimated Principal Payment (1%)</t>
  </si>
  <si>
    <t>Inventory &amp; Other</t>
  </si>
  <si>
    <t>Recessionary COGS Adj</t>
  </si>
  <si>
    <t>Recessionary OpEx Adj</t>
  </si>
  <si>
    <t>Recessionary CapEx Adj</t>
  </si>
  <si>
    <t>VALUATION</t>
  </si>
  <si>
    <t>SUMMARY OUTPUTS</t>
  </si>
  <si>
    <t>Recessionary PE Hypothesis</t>
  </si>
  <si>
    <t>Acquisitions &amp; Other % Revenue:</t>
  </si>
  <si>
    <t>Estimated Minimum Cash Balance</t>
  </si>
  <si>
    <t>NCI Net Income % Total:</t>
  </si>
  <si>
    <t>SOFR + 3%</t>
  </si>
  <si>
    <t>Recessionary NWC Adj</t>
  </si>
  <si>
    <t>Short Term Debt:</t>
  </si>
  <si>
    <t>Short-Term Debt:</t>
  </si>
  <si>
    <t>Recessionary Other Adj</t>
  </si>
  <si>
    <t>Equity Value</t>
  </si>
  <si>
    <t>Δ COGS % Revenue</t>
  </si>
  <si>
    <t>Δ OpEx % Revenue</t>
  </si>
  <si>
    <t>Δ NWC % Revenue</t>
  </si>
  <si>
    <t>Δ CapEx % Revenue</t>
  </si>
  <si>
    <t>Δ Other % Revenue</t>
  </si>
  <si>
    <t>Profit Margin</t>
  </si>
  <si>
    <t>3-Year Average PE Ratio</t>
  </si>
  <si>
    <t>Capital structure fixed via buybacks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</si>
</sst>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\$* #,##0_);_(\$* \(#,##0\);_(\$* &quot;-&quot;_);_(@_)"/>
    <numFmt numFmtId="165" formatCode="\(#,##0_);[Red]\(#,##0\)"/>
    <numFmt numFmtId="166" formatCode="0.0%"/>
    <numFmt numFmtId="167" formatCode="_(* #,##0_);_(* \(#,##0\);_(* &quot;-&quot;??_);_(@_)"/>
    <numFmt numFmtId="168" formatCode="&quot;FY&quot;\ yy"/>
    <numFmt numFmtId="169" formatCode="0.0%;\(0.0%\)"/>
    <numFmt numFmtId="170" formatCode="_(&quot;$&quot;* #,##0_);_(&quot;$&quot;* \(#,##0\);_(&quot;$&quot;* &quot;-&quot;??_);_(@_)"/>
    <numFmt numFmtId="171" formatCode="_(* #,##0.000_);_(* \(#,##0.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0">
    <xf numFmtId="0" fontId="0" fillId="0" borderId="0" xfId="0"/>
    <xf numFmtId="0" fontId="3" fillId="2" borderId="1" xfId="2" applyFill="1" applyBorder="1"/>
    <xf numFmtId="0" fontId="3" fillId="0" borderId="0" xfId="2"/>
    <xf numFmtId="0" fontId="4" fillId="0" borderId="0" xfId="3"/>
    <xf numFmtId="0" fontId="2" fillId="0" borderId="0" xfId="0" applyFont="1"/>
    <xf numFmtId="165" fontId="2" fillId="0" borderId="0" xfId="0" applyNumberFormat="1" applyFont="1"/>
    <xf numFmtId="0" fontId="2" fillId="0" borderId="2" xfId="0" applyFont="1" applyBorder="1"/>
    <xf numFmtId="6" fontId="0" fillId="0" borderId="0" xfId="5" applyNumberFormat="1" applyFont="1"/>
    <xf numFmtId="166" fontId="2" fillId="0" borderId="0" xfId="1" applyNumberFormat="1" applyFont="1"/>
    <xf numFmtId="38" fontId="0" fillId="0" borderId="0" xfId="0" applyNumberFormat="1"/>
    <xf numFmtId="6" fontId="0" fillId="0" borderId="0" xfId="0" applyNumberFormat="1"/>
    <xf numFmtId="167" fontId="2" fillId="0" borderId="0" xfId="4" applyNumberFormat="1" applyFont="1" applyAlignment="1"/>
    <xf numFmtId="167" fontId="0" fillId="0" borderId="0" xfId="4" applyNumberFormat="1" applyFont="1"/>
    <xf numFmtId="167" fontId="2" fillId="0" borderId="0" xfId="4" applyNumberFormat="1" applyFont="1" applyAlignment="1">
      <alignment wrapText="1"/>
    </xf>
    <xf numFmtId="167" fontId="0" fillId="0" borderId="0" xfId="4" applyNumberFormat="1" applyFont="1" applyAlignment="1"/>
    <xf numFmtId="167" fontId="2" fillId="0" borderId="0" xfId="4" applyNumberFormat="1" applyFont="1"/>
    <xf numFmtId="167" fontId="0" fillId="0" borderId="0" xfId="4" applyNumberFormat="1" applyFont="1" applyAlignment="1">
      <alignment wrapText="1"/>
    </xf>
    <xf numFmtId="0" fontId="0" fillId="0" borderId="0" xfId="0" applyAlignment="1">
      <alignment horizontal="right"/>
    </xf>
    <xf numFmtId="38" fontId="2" fillId="0" borderId="0" xfId="4" applyNumberFormat="1" applyFont="1"/>
    <xf numFmtId="38" fontId="0" fillId="0" borderId="0" xfId="4" applyNumberFormat="1" applyFont="1"/>
    <xf numFmtId="166" fontId="0" fillId="0" borderId="0" xfId="1" applyNumberFormat="1" applyFont="1"/>
    <xf numFmtId="167" fontId="1" fillId="0" borderId="0" xfId="4" applyNumberFormat="1" applyFont="1"/>
    <xf numFmtId="167" fontId="1" fillId="0" borderId="0" xfId="4" applyNumberFormat="1" applyFont="1" applyAlignment="1"/>
    <xf numFmtId="167" fontId="1" fillId="0" borderId="0" xfId="4" applyNumberFormat="1" applyFont="1" applyAlignment="1">
      <alignment wrapText="1"/>
    </xf>
    <xf numFmtId="165" fontId="0" fillId="0" borderId="0" xfId="0" applyNumberFormat="1"/>
    <xf numFmtId="3" fontId="0" fillId="0" borderId="0" xfId="0" applyNumberFormat="1"/>
    <xf numFmtId="164" fontId="0" fillId="0" borderId="0" xfId="0" applyNumberFormat="1"/>
    <xf numFmtId="167" fontId="1" fillId="3" borderId="0" xfId="4" applyNumberFormat="1" applyFont="1" applyFill="1" applyAlignment="1"/>
    <xf numFmtId="167" fontId="2" fillId="3" borderId="0" xfId="4" applyNumberFormat="1" applyFont="1" applyFill="1" applyAlignment="1"/>
    <xf numFmtId="0" fontId="7" fillId="4" borderId="15" xfId="0" applyFont="1" applyFill="1" applyBorder="1"/>
    <xf numFmtId="168" fontId="7" fillId="4" borderId="15" xfId="0" applyNumberFormat="1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42" fontId="9" fillId="0" borderId="0" xfId="0" applyNumberFormat="1" applyFont="1"/>
    <xf numFmtId="0" fontId="9" fillId="0" borderId="0" xfId="0" applyFont="1" applyAlignment="1">
      <alignment horizontal="left" indent="1"/>
    </xf>
    <xf numFmtId="169" fontId="9" fillId="0" borderId="0" xfId="0" applyNumberFormat="1" applyFont="1"/>
    <xf numFmtId="166" fontId="10" fillId="0" borderId="0" xfId="0" applyNumberFormat="1" applyFont="1"/>
    <xf numFmtId="169" fontId="11" fillId="0" borderId="0" xfId="0" applyNumberFormat="1" applyFont="1"/>
    <xf numFmtId="0" fontId="11" fillId="0" borderId="16" xfId="0" applyFont="1" applyBorder="1"/>
    <xf numFmtId="0" fontId="11" fillId="0" borderId="0" xfId="0" applyFont="1"/>
    <xf numFmtId="0" fontId="11" fillId="0" borderId="0" xfId="0" applyFont="1" applyAlignment="1">
      <alignment horizontal="left" indent="1"/>
    </xf>
    <xf numFmtId="0" fontId="9" fillId="0" borderId="0" xfId="0" applyFont="1" applyAlignment="1">
      <alignment horizontal="left" indent="2"/>
    </xf>
    <xf numFmtId="38" fontId="8" fillId="0" borderId="0" xfId="0" applyNumberFormat="1" applyFont="1"/>
    <xf numFmtId="170" fontId="10" fillId="0" borderId="0" xfId="5" applyNumberFormat="1" applyFont="1"/>
    <xf numFmtId="170" fontId="9" fillId="0" borderId="0" xfId="5" applyNumberFormat="1" applyFont="1"/>
    <xf numFmtId="170" fontId="11" fillId="0" borderId="16" xfId="5" applyNumberFormat="1" applyFont="1" applyBorder="1"/>
    <xf numFmtId="170" fontId="8" fillId="0" borderId="0" xfId="5" applyNumberFormat="1" applyFont="1"/>
    <xf numFmtId="170" fontId="11" fillId="0" borderId="0" xfId="5" applyNumberFormat="1" applyFont="1"/>
    <xf numFmtId="170" fontId="7" fillId="4" borderId="15" xfId="5" applyNumberFormat="1" applyFont="1" applyFill="1" applyBorder="1" applyAlignment="1">
      <alignment horizontal="center"/>
    </xf>
    <xf numFmtId="170" fontId="12" fillId="0" borderId="0" xfId="5" applyNumberFormat="1" applyFont="1"/>
    <xf numFmtId="170" fontId="9" fillId="0" borderId="0" xfId="0" applyNumberFormat="1" applyFont="1"/>
    <xf numFmtId="166" fontId="10" fillId="0" borderId="0" xfId="1" applyNumberFormat="1" applyFont="1"/>
    <xf numFmtId="0" fontId="7" fillId="0" borderId="0" xfId="0" applyFont="1"/>
    <xf numFmtId="170" fontId="8" fillId="0" borderId="0" xfId="0" applyNumberFormat="1" applyFont="1"/>
    <xf numFmtId="44" fontId="8" fillId="0" borderId="0" xfId="0" applyNumberFormat="1" applyFont="1"/>
    <xf numFmtId="170" fontId="9" fillId="0" borderId="0" xfId="5" applyNumberFormat="1" applyFont="1" applyFill="1"/>
    <xf numFmtId="170" fontId="11" fillId="0" borderId="16" xfId="5" applyNumberFormat="1" applyFont="1" applyFill="1" applyBorder="1"/>
    <xf numFmtId="170" fontId="8" fillId="0" borderId="0" xfId="5" applyNumberFormat="1" applyFont="1" applyFill="1"/>
    <xf numFmtId="170" fontId="7" fillId="0" borderId="0" xfId="5" applyNumberFormat="1" applyFont="1"/>
    <xf numFmtId="167" fontId="8" fillId="0" borderId="0" xfId="4" applyNumberFormat="1" applyFont="1"/>
    <xf numFmtId="170" fontId="11" fillId="0" borderId="0" xfId="5" applyNumberFormat="1" applyFont="1" applyBorder="1"/>
    <xf numFmtId="170" fontId="11" fillId="0" borderId="0" xfId="5" applyNumberFormat="1" applyFont="1" applyFill="1" applyBorder="1"/>
    <xf numFmtId="170" fontId="10" fillId="0" borderId="0" xfId="5" applyNumberFormat="1" applyFont="1" applyFill="1"/>
    <xf numFmtId="167" fontId="0" fillId="0" borderId="0" xfId="4" applyNumberFormat="1" applyFont="1" applyFill="1"/>
    <xf numFmtId="38" fontId="0" fillId="0" borderId="9" xfId="4" applyNumberFormat="1" applyFont="1" applyFill="1" applyBorder="1"/>
    <xf numFmtId="166" fontId="12" fillId="0" borderId="0" xfId="1" applyNumberFormat="1" applyFont="1"/>
    <xf numFmtId="169" fontId="7" fillId="0" borderId="0" xfId="1" applyNumberFormat="1" applyFont="1"/>
    <xf numFmtId="167" fontId="2" fillId="0" borderId="0" xfId="4" applyNumberFormat="1" applyFont="1" applyFill="1" applyBorder="1" applyAlignment="1">
      <alignment horizontal="center"/>
    </xf>
    <xf numFmtId="43" fontId="2" fillId="0" borderId="2" xfId="4" applyFont="1" applyFill="1" applyBorder="1"/>
    <xf numFmtId="167" fontId="2" fillId="0" borderId="0" xfId="4" applyNumberFormat="1" applyFont="1" applyFill="1"/>
    <xf numFmtId="167" fontId="1" fillId="0" borderId="0" xfId="4" applyNumberFormat="1" applyFont="1" applyFill="1"/>
    <xf numFmtId="0" fontId="0" fillId="0" borderId="15" xfId="0" applyBorder="1"/>
    <xf numFmtId="167" fontId="2" fillId="0" borderId="2" xfId="4" applyNumberFormat="1" applyFont="1" applyFill="1" applyBorder="1"/>
    <xf numFmtId="43" fontId="0" fillId="0" borderId="0" xfId="0" applyNumberFormat="1"/>
    <xf numFmtId="166" fontId="0" fillId="0" borderId="0" xfId="1" applyNumberFormat="1" applyFont="1" applyFill="1"/>
    <xf numFmtId="167" fontId="0" fillId="0" borderId="18" xfId="4" applyNumberFormat="1" applyFont="1" applyFill="1" applyBorder="1"/>
    <xf numFmtId="167" fontId="0" fillId="0" borderId="15" xfId="4" applyNumberFormat="1" applyFont="1" applyFill="1" applyBorder="1"/>
    <xf numFmtId="167" fontId="0" fillId="0" borderId="0" xfId="0" applyNumberFormat="1"/>
    <xf numFmtId="167" fontId="0" fillId="0" borderId="17" xfId="4" applyNumberFormat="1" applyFont="1" applyFill="1" applyBorder="1"/>
    <xf numFmtId="43" fontId="0" fillId="0" borderId="0" xfId="4" applyFont="1" applyFill="1"/>
    <xf numFmtId="9" fontId="2" fillId="0" borderId="2" xfId="1" applyFont="1" applyFill="1" applyBorder="1"/>
    <xf numFmtId="9" fontId="2" fillId="0" borderId="0" xfId="1" applyFont="1" applyFill="1"/>
    <xf numFmtId="0" fontId="7" fillId="0" borderId="0" xfId="0" applyFont="1" applyAlignment="1">
      <alignment horizontal="center"/>
    </xf>
    <xf numFmtId="170" fontId="13" fillId="0" borderId="16" xfId="5" applyNumberFormat="1" applyFont="1" applyBorder="1"/>
    <xf numFmtId="167" fontId="1" fillId="0" borderId="15" xfId="4" applyNumberFormat="1" applyFont="1" applyFill="1" applyBorder="1"/>
    <xf numFmtId="0" fontId="8" fillId="0" borderId="0" xfId="0" quotePrefix="1" applyFont="1"/>
    <xf numFmtId="43" fontId="2" fillId="0" borderId="0" xfId="4" applyFont="1" applyFill="1" applyBorder="1"/>
    <xf numFmtId="43" fontId="2" fillId="0" borderId="0" xfId="4" applyFont="1" applyFill="1"/>
    <xf numFmtId="167" fontId="1" fillId="0" borderId="0" xfId="4" applyNumberFormat="1" applyFont="1" applyFill="1" applyBorder="1"/>
    <xf numFmtId="43" fontId="1" fillId="0" borderId="0" xfId="4" applyFont="1" applyFill="1" applyBorder="1"/>
    <xf numFmtId="0" fontId="2" fillId="4" borderId="17" xfId="0" applyFont="1" applyFill="1" applyBorder="1"/>
    <xf numFmtId="43" fontId="2" fillId="4" borderId="17" xfId="4" applyFont="1" applyFill="1" applyBorder="1"/>
    <xf numFmtId="38" fontId="0" fillId="0" borderId="0" xfId="4" applyNumberFormat="1" applyFont="1" applyFill="1"/>
    <xf numFmtId="38" fontId="0" fillId="0" borderId="8" xfId="4" applyNumberFormat="1" applyFont="1" applyFill="1" applyBorder="1"/>
    <xf numFmtId="38" fontId="0" fillId="0" borderId="0" xfId="4" applyNumberFormat="1" applyFont="1" applyFill="1" applyBorder="1"/>
    <xf numFmtId="38" fontId="2" fillId="0" borderId="0" xfId="4" applyNumberFormat="1" applyFont="1" applyFill="1"/>
    <xf numFmtId="38" fontId="2" fillId="0" borderId="8" xfId="4" applyNumberFormat="1" applyFont="1" applyFill="1" applyBorder="1"/>
    <xf numFmtId="38" fontId="2" fillId="0" borderId="0" xfId="4" applyNumberFormat="1" applyFont="1" applyFill="1" applyBorder="1"/>
    <xf numFmtId="38" fontId="2" fillId="0" borderId="9" xfId="4" applyNumberFormat="1" applyFont="1" applyFill="1" applyBorder="1"/>
    <xf numFmtId="38" fontId="0" fillId="0" borderId="0" xfId="4" applyNumberFormat="1" applyFont="1" applyFill="1" applyAlignment="1"/>
    <xf numFmtId="38" fontId="0" fillId="0" borderId="8" xfId="4" applyNumberFormat="1" applyFont="1" applyFill="1" applyBorder="1" applyAlignment="1"/>
    <xf numFmtId="38" fontId="0" fillId="0" borderId="0" xfId="4" applyNumberFormat="1" applyFont="1" applyFill="1" applyBorder="1" applyAlignment="1"/>
    <xf numFmtId="38" fontId="0" fillId="0" borderId="9" xfId="4" applyNumberFormat="1" applyFont="1" applyFill="1" applyBorder="1" applyAlignment="1"/>
    <xf numFmtId="167" fontId="0" fillId="0" borderId="9" xfId="4" applyNumberFormat="1" applyFont="1" applyFill="1" applyBorder="1"/>
    <xf numFmtId="38" fontId="2" fillId="0" borderId="0" xfId="4" applyNumberFormat="1" applyFont="1" applyFill="1" applyAlignment="1"/>
    <xf numFmtId="167" fontId="0" fillId="0" borderId="0" xfId="4" applyNumberFormat="1" applyFont="1" applyFill="1" applyBorder="1"/>
    <xf numFmtId="43" fontId="0" fillId="0" borderId="8" xfId="4" applyFont="1" applyFill="1" applyBorder="1"/>
    <xf numFmtId="43" fontId="0" fillId="0" borderId="0" xfId="4" applyFont="1" applyFill="1" applyBorder="1"/>
    <xf numFmtId="43" fontId="0" fillId="0" borderId="9" xfId="4" applyFont="1" applyFill="1" applyBorder="1"/>
    <xf numFmtId="167" fontId="5" fillId="0" borderId="0" xfId="4" applyNumberFormat="1" applyFont="1" applyFill="1"/>
    <xf numFmtId="38" fontId="5" fillId="0" borderId="0" xfId="4" applyNumberFormat="1" applyFont="1" applyFill="1"/>
    <xf numFmtId="168" fontId="7" fillId="4" borderId="0" xfId="0" applyNumberFormat="1" applyFont="1" applyFill="1" applyAlignment="1">
      <alignment horizontal="center"/>
    </xf>
    <xf numFmtId="6" fontId="0" fillId="0" borderId="0" xfId="5" applyNumberFormat="1" applyFont="1" applyFill="1" applyBorder="1"/>
    <xf numFmtId="6" fontId="2" fillId="0" borderId="0" xfId="5" applyNumberFormat="1" applyFont="1" applyFill="1" applyBorder="1"/>
    <xf numFmtId="38" fontId="2" fillId="0" borderId="0" xfId="4" applyNumberFormat="1" applyFont="1" applyFill="1" applyBorder="1" applyAlignment="1"/>
    <xf numFmtId="167" fontId="2" fillId="0" borderId="0" xfId="4" applyNumberFormat="1" applyFont="1" applyFill="1" applyBorder="1"/>
    <xf numFmtId="43" fontId="2" fillId="0" borderId="0" xfId="4" applyFont="1" applyFill="1" applyBorder="1" applyAlignment="1"/>
    <xf numFmtId="10" fontId="0" fillId="0" borderId="0" xfId="1" applyNumberFormat="1" applyFont="1" applyFill="1" applyBorder="1"/>
    <xf numFmtId="167" fontId="5" fillId="0" borderId="0" xfId="4" applyNumberFormat="1" applyFont="1" applyFill="1" applyBorder="1"/>
    <xf numFmtId="0" fontId="0" fillId="0" borderId="0" xfId="0" applyAlignment="1">
      <alignment horizontal="left"/>
    </xf>
    <xf numFmtId="38" fontId="1" fillId="0" borderId="0" xfId="4" applyNumberFormat="1" applyFont="1" applyFill="1" applyBorder="1"/>
    <xf numFmtId="9" fontId="8" fillId="0" borderId="0" xfId="1" applyFont="1"/>
    <xf numFmtId="6" fontId="2" fillId="0" borderId="3" xfId="0" applyNumberFormat="1" applyFont="1" applyBorder="1" applyAlignment="1">
      <alignment horizontal="center"/>
    </xf>
    <xf numFmtId="10" fontId="2" fillId="0" borderId="4" xfId="0" applyNumberFormat="1" applyFont="1" applyBorder="1" applyAlignment="1">
      <alignment horizontal="center"/>
    </xf>
    <xf numFmtId="38" fontId="2" fillId="0" borderId="0" xfId="4" applyNumberFormat="1" applyFont="1" applyFill="1" applyBorder="1" applyAlignment="1">
      <alignment horizontal="center"/>
    </xf>
    <xf numFmtId="9" fontId="2" fillId="0" borderId="0" xfId="1" applyFont="1" applyFill="1" applyBorder="1" applyAlignment="1">
      <alignment horizontal="center"/>
    </xf>
    <xf numFmtId="10" fontId="0" fillId="0" borderId="0" xfId="0" applyNumberFormat="1"/>
    <xf numFmtId="9" fontId="0" fillId="0" borderId="0" xfId="1" applyFont="1" applyFill="1"/>
    <xf numFmtId="38" fontId="2" fillId="0" borderId="0" xfId="4" applyNumberFormat="1" applyFont="1" applyFill="1" applyAlignment="1">
      <alignment horizontal="center"/>
    </xf>
    <xf numFmtId="38" fontId="2" fillId="0" borderId="5" xfId="4" applyNumberFormat="1" applyFont="1" applyFill="1" applyBorder="1" applyAlignment="1">
      <alignment horizontal="center"/>
    </xf>
    <xf numFmtId="38" fontId="2" fillId="0" borderId="6" xfId="4" applyNumberFormat="1" applyFont="1" applyFill="1" applyBorder="1" applyAlignment="1">
      <alignment horizontal="center"/>
    </xf>
    <xf numFmtId="38" fontId="2" fillId="0" borderId="7" xfId="4" applyNumberFormat="1" applyFont="1" applyFill="1" applyBorder="1" applyAlignment="1">
      <alignment horizontal="center"/>
    </xf>
    <xf numFmtId="6" fontId="2" fillId="0" borderId="0" xfId="5" applyNumberFormat="1" applyFont="1" applyFill="1" applyAlignment="1">
      <alignment horizontal="center"/>
    </xf>
    <xf numFmtId="38" fontId="2" fillId="0" borderId="2" xfId="4" applyNumberFormat="1" applyFont="1" applyFill="1" applyBorder="1" applyAlignment="1"/>
    <xf numFmtId="38" fontId="2" fillId="0" borderId="13" xfId="4" applyNumberFormat="1" applyFont="1" applyFill="1" applyBorder="1"/>
    <xf numFmtId="38" fontId="2" fillId="0" borderId="14" xfId="4" applyNumberFormat="1" applyFont="1" applyFill="1" applyBorder="1" applyAlignment="1"/>
    <xf numFmtId="38" fontId="2" fillId="0" borderId="14" xfId="4" applyNumberFormat="1" applyFont="1" applyFill="1" applyBorder="1"/>
    <xf numFmtId="9" fontId="2" fillId="0" borderId="0" xfId="1" applyFont="1" applyFill="1" applyAlignment="1"/>
    <xf numFmtId="9" fontId="2" fillId="0" borderId="8" xfId="1" applyFont="1" applyFill="1" applyBorder="1"/>
    <xf numFmtId="9" fontId="2" fillId="0" borderId="0" xfId="1" applyFont="1" applyFill="1" applyBorder="1" applyAlignment="1"/>
    <xf numFmtId="9" fontId="2" fillId="0" borderId="9" xfId="1" applyFont="1" applyFill="1" applyBorder="1" applyAlignment="1"/>
    <xf numFmtId="9" fontId="2" fillId="0" borderId="9" xfId="1" applyFont="1" applyFill="1" applyBorder="1"/>
    <xf numFmtId="38" fontId="2" fillId="0" borderId="9" xfId="4" applyNumberFormat="1" applyFont="1" applyFill="1" applyBorder="1" applyAlignment="1"/>
    <xf numFmtId="6" fontId="2" fillId="0" borderId="0" xfId="0" applyNumberFormat="1" applyFont="1"/>
    <xf numFmtId="43" fontId="0" fillId="0" borderId="0" xfId="4" applyFont="1" applyFill="1" applyAlignment="1"/>
    <xf numFmtId="43" fontId="0" fillId="0" borderId="0" xfId="4" applyFont="1" applyFill="1" applyBorder="1" applyAlignment="1"/>
    <xf numFmtId="43" fontId="0" fillId="0" borderId="9" xfId="4" applyFont="1" applyFill="1" applyBorder="1" applyAlignment="1"/>
    <xf numFmtId="38" fontId="2" fillId="0" borderId="2" xfId="4" applyNumberFormat="1" applyFont="1" applyFill="1" applyBorder="1"/>
    <xf numFmtId="166" fontId="2" fillId="0" borderId="0" xfId="1" applyNumberFormat="1" applyFont="1" applyFill="1" applyAlignment="1"/>
    <xf numFmtId="166" fontId="2" fillId="0" borderId="8" xfId="1" applyNumberFormat="1" applyFont="1" applyFill="1" applyBorder="1"/>
    <xf numFmtId="166" fontId="2" fillId="0" borderId="0" xfId="1" applyNumberFormat="1" applyFont="1" applyFill="1" applyBorder="1" applyAlignment="1"/>
    <xf numFmtId="166" fontId="2" fillId="0" borderId="9" xfId="1" applyNumberFormat="1" applyFont="1" applyFill="1" applyBorder="1" applyAlignment="1"/>
    <xf numFmtId="166" fontId="2" fillId="0" borderId="9" xfId="1" applyNumberFormat="1" applyFont="1" applyFill="1" applyBorder="1"/>
    <xf numFmtId="166" fontId="2" fillId="0" borderId="0" xfId="1" applyNumberFormat="1" applyFont="1" applyFill="1"/>
    <xf numFmtId="38" fontId="0" fillId="0" borderId="10" xfId="4" applyNumberFormat="1" applyFont="1" applyFill="1" applyBorder="1"/>
    <xf numFmtId="38" fontId="0" fillId="0" borderId="11" xfId="4" applyNumberFormat="1" applyFont="1" applyFill="1" applyBorder="1" applyAlignment="1"/>
    <xf numFmtId="38" fontId="0" fillId="0" borderId="12" xfId="4" applyNumberFormat="1" applyFont="1" applyFill="1" applyBorder="1" applyAlignment="1"/>
    <xf numFmtId="38" fontId="0" fillId="0" borderId="12" xfId="4" applyNumberFormat="1" applyFont="1" applyFill="1" applyBorder="1"/>
    <xf numFmtId="38" fontId="1" fillId="0" borderId="0" xfId="4" applyNumberFormat="1" applyFont="1" applyFill="1"/>
    <xf numFmtId="38" fontId="1" fillId="0" borderId="8" xfId="4" applyNumberFormat="1" applyFont="1" applyFill="1" applyBorder="1"/>
    <xf numFmtId="38" fontId="1" fillId="0" borderId="9" xfId="4" applyNumberFormat="1" applyFont="1" applyFill="1" applyBorder="1"/>
    <xf numFmtId="38" fontId="0" fillId="0" borderId="11" xfId="4" applyNumberFormat="1" applyFont="1" applyFill="1" applyBorder="1"/>
    <xf numFmtId="0" fontId="12" fillId="0" borderId="0" xfId="0" applyFont="1"/>
    <xf numFmtId="0" fontId="0" fillId="4" borderId="15" xfId="0" applyFill="1" applyBorder="1"/>
    <xf numFmtId="171" fontId="0" fillId="0" borderId="0" xfId="0" applyNumberFormat="1"/>
    <xf numFmtId="0" fontId="2" fillId="0" borderId="0" xfId="0" applyFont="1" applyAlignment="1">
      <alignment horizontal="left"/>
    </xf>
    <xf numFmtId="170" fontId="2" fillId="0" borderId="0" xfId="5" applyNumberFormat="1" applyFont="1"/>
    <xf numFmtId="166" fontId="2" fillId="0" borderId="0" xfId="1" applyNumberFormat="1" applyFont="1" applyAlignment="1">
      <alignment horizontal="left"/>
    </xf>
    <xf numFmtId="167" fontId="5" fillId="0" borderId="0" xfId="0" applyNumberFormat="1" applyFont="1"/>
    <xf numFmtId="43" fontId="5" fillId="0" borderId="0" xfId="4" applyFont="1" applyFill="1" applyBorder="1"/>
    <xf numFmtId="0" fontId="0" fillId="0" borderId="5" xfId="0" applyBorder="1"/>
    <xf numFmtId="0" fontId="0" fillId="0" borderId="8" xfId="0" applyBorder="1"/>
    <xf numFmtId="0" fontId="2" fillId="0" borderId="13" xfId="0" applyFont="1" applyBorder="1"/>
    <xf numFmtId="167" fontId="2" fillId="0" borderId="14" xfId="4" applyNumberFormat="1" applyFont="1" applyFill="1" applyBorder="1"/>
    <xf numFmtId="166" fontId="0" fillId="0" borderId="0" xfId="1" applyNumberFormat="1" applyFont="1" applyFill="1" applyBorder="1"/>
    <xf numFmtId="166" fontId="14" fillId="0" borderId="9" xfId="1" applyNumberFormat="1" applyFont="1" applyFill="1" applyBorder="1"/>
    <xf numFmtId="0" fontId="2" fillId="0" borderId="19" xfId="0" applyFont="1" applyBorder="1"/>
    <xf numFmtId="167" fontId="2" fillId="0" borderId="20" xfId="4" applyNumberFormat="1" applyFont="1" applyFill="1" applyBorder="1"/>
    <xf numFmtId="0" fontId="2" fillId="0" borderId="21" xfId="0" applyFont="1" applyBorder="1"/>
    <xf numFmtId="167" fontId="2" fillId="0" borderId="22" xfId="4" applyNumberFormat="1" applyFont="1" applyFill="1" applyBorder="1"/>
    <xf numFmtId="0" fontId="2" fillId="0" borderId="23" xfId="0" applyFont="1" applyBorder="1"/>
    <xf numFmtId="167" fontId="2" fillId="0" borderId="24" xfId="4" applyNumberFormat="1" applyFont="1" applyFill="1" applyBorder="1"/>
    <xf numFmtId="167" fontId="2" fillId="0" borderId="9" xfId="4" applyNumberFormat="1" applyFont="1" applyFill="1" applyBorder="1" applyAlignment="1">
      <alignment horizontal="center"/>
    </xf>
    <xf numFmtId="0" fontId="0" fillId="0" borderId="21" xfId="0" applyBorder="1"/>
    <xf numFmtId="167" fontId="0" fillId="0" borderId="22" xfId="4" applyNumberFormat="1" applyFont="1" applyFill="1" applyBorder="1"/>
    <xf numFmtId="167" fontId="14" fillId="0" borderId="9" xfId="4" applyNumberFormat="1" applyFont="1" applyFill="1" applyBorder="1"/>
    <xf numFmtId="0" fontId="2" fillId="0" borderId="25" xfId="0" applyFont="1" applyBorder="1"/>
    <xf numFmtId="43" fontId="2" fillId="0" borderId="26" xfId="4" applyFont="1" applyFill="1" applyBorder="1"/>
    <xf numFmtId="43" fontId="2" fillId="0" borderId="27" xfId="4" applyFont="1" applyFill="1" applyBorder="1"/>
    <xf numFmtId="167" fontId="0" fillId="0" borderId="6" xfId="4" applyNumberFormat="1" applyFont="1" applyFill="1" applyBorder="1"/>
    <xf numFmtId="167" fontId="0" fillId="0" borderId="7" xfId="4" applyNumberFormat="1" applyFont="1" applyFill="1" applyBorder="1"/>
    <xf numFmtId="0" fontId="0" fillId="0" borderId="9" xfId="0" applyBorder="1"/>
    <xf numFmtId="166" fontId="11" fillId="0" borderId="0" xfId="1" applyNumberFormat="1" applyFont="1"/>
    <xf numFmtId="166" fontId="9" fillId="0" borderId="0" xfId="1" applyNumberFormat="1" applyFont="1"/>
    <xf numFmtId="168" fontId="7" fillId="0" borderId="0" xfId="0" applyNumberFormat="1" applyFont="1" applyAlignment="1">
      <alignment horizontal="center"/>
    </xf>
    <xf numFmtId="167" fontId="2" fillId="0" borderId="0" xfId="4" applyNumberFormat="1" applyFont="1" applyFill="1" applyAlignment="1"/>
    <xf numFmtId="167" fontId="2" fillId="0" borderId="0" xfId="4" applyNumberFormat="1" applyFont="1" applyFill="1" applyAlignment="1">
      <alignment wrapText="1"/>
    </xf>
    <xf numFmtId="167" fontId="0" fillId="0" borderId="0" xfId="4" applyNumberFormat="1" applyFont="1" applyFill="1" applyAlignment="1"/>
    <xf numFmtId="0" fontId="5" fillId="0" borderId="0" xfId="0" applyFont="1"/>
    <xf numFmtId="0" fontId="15" fillId="0" borderId="3" xfId="2" applyFont="1" applyBorder="1"/>
    <xf numFmtId="10" fontId="2" fillId="0" borderId="4" xfId="1" applyNumberFormat="1" applyFont="1" applyBorder="1"/>
    <xf numFmtId="170" fontId="16" fillId="5" borderId="0" xfId="5" applyNumberFormat="1" applyFont="1" applyFill="1"/>
    <xf numFmtId="168" fontId="13" fillId="4" borderId="15" xfId="0" applyNumberFormat="1" applyFont="1" applyFill="1" applyBorder="1" applyAlignment="1">
      <alignment horizontal="right"/>
    </xf>
    <xf numFmtId="0" fontId="16" fillId="0" borderId="0" xfId="0" applyFont="1"/>
    <xf numFmtId="0" fontId="16" fillId="5" borderId="0" xfId="0" applyFont="1" applyFill="1"/>
    <xf numFmtId="170" fontId="16" fillId="0" borderId="0" xfId="5" applyNumberFormat="1" applyFont="1" applyFill="1"/>
    <xf numFmtId="0" fontId="16" fillId="0" borderId="0" xfId="0" applyFont="1" applyAlignment="1">
      <alignment horizontal="right"/>
    </xf>
    <xf numFmtId="166" fontId="9" fillId="0" borderId="0" xfId="1" applyNumberFormat="1" applyFont="1" applyAlignment="1">
      <alignment horizontal="left" indent="1"/>
    </xf>
    <xf numFmtId="166" fontId="9" fillId="0" borderId="0" xfId="1" applyNumberFormat="1" applyFont="1" applyBorder="1"/>
    <xf numFmtId="166" fontId="8" fillId="0" borderId="0" xfId="1" applyNumberFormat="1" applyFont="1"/>
    <xf numFmtId="43" fontId="0" fillId="0" borderId="0" xfId="4" applyFont="1"/>
    <xf numFmtId="170" fontId="17" fillId="0" borderId="0" xfId="5" applyNumberFormat="1" applyFont="1" applyFill="1"/>
    <xf numFmtId="43" fontId="17" fillId="0" borderId="0" xfId="4" applyFont="1" applyFill="1"/>
    <xf numFmtId="43" fontId="16" fillId="0" borderId="0" xfId="4" applyFont="1" applyFill="1"/>
    <xf numFmtId="44" fontId="16" fillId="5" borderId="0" xfId="0" applyNumberFormat="1" applyFont="1" applyFill="1"/>
    <xf numFmtId="43" fontId="14" fillId="0" borderId="0" xfId="4" applyFont="1" applyFill="1"/>
    <xf numFmtId="166" fontId="16" fillId="5" borderId="0" xfId="1" applyNumberFormat="1" applyFont="1" applyFill="1"/>
    <xf numFmtId="168" fontId="16" fillId="0" borderId="0" xfId="0" applyNumberFormat="1" applyFont="1" applyAlignment="1">
      <alignment horizontal="right"/>
    </xf>
    <xf numFmtId="166" fontId="17" fillId="0" borderId="0" xfId="1" applyNumberFormat="1" applyFont="1" applyFill="1"/>
    <xf numFmtId="0" fontId="16" fillId="5" borderId="0" xfId="0" applyFont="1" applyFill="1" applyAlignment="1">
      <alignment horizontal="right"/>
    </xf>
    <xf numFmtId="170" fontId="16" fillId="5" borderId="0" xfId="5" applyNumberFormat="1" applyFont="1" applyFill="1" applyAlignment="1">
      <alignment horizontal="right"/>
    </xf>
    <xf numFmtId="166" fontId="16" fillId="5" borderId="0" xfId="1" applyNumberFormat="1" applyFont="1" applyFill="1" applyAlignment="1">
      <alignment horizontal="right"/>
    </xf>
    <xf numFmtId="170" fontId="16" fillId="0" borderId="0" xfId="5" applyNumberFormat="1" applyFont="1" applyFill="1" applyAlignment="1">
      <alignment horizontal="right"/>
    </xf>
    <xf numFmtId="170" fontId="17" fillId="5" borderId="0" xfId="5" applyNumberFormat="1" applyFont="1" applyFill="1"/>
    <xf numFmtId="43" fontId="16" fillId="0" borderId="0" xfId="0" applyNumberFormat="1" applyFont="1"/>
    <xf numFmtId="166" fontId="16" fillId="0" borderId="0" xfId="1" applyNumberFormat="1" applyFont="1" applyFill="1"/>
    <xf numFmtId="166" fontId="16" fillId="0" borderId="0" xfId="1" applyNumberFormat="1" applyFont="1" applyFill="1" applyAlignment="1">
      <alignment horizontal="right"/>
    </xf>
    <xf numFmtId="170" fontId="8" fillId="0" borderId="0" xfId="1" applyNumberFormat="1" applyFont="1"/>
    <xf numFmtId="0" fontId="2" fillId="0" borderId="15" xfId="0" applyFont="1" applyBorder="1" applyAlignment="1">
      <alignment horizontal="center"/>
    </xf>
    <xf numFmtId="167" fontId="2" fillId="0" borderId="0" xfId="4" applyNumberFormat="1" applyFont="1" applyFill="1" applyAlignment="1">
      <alignment horizontal="center"/>
    </xf>
  </cellXfs>
  <cellStyles count="6">
    <cellStyle name="Comma" xfId="4" builtinId="3"/>
    <cellStyle name="Currency" xfId="5" builtinId="4"/>
    <cellStyle name="Hyperlink" xfId="3" builtinId="8"/>
    <cellStyle name="Normal" xfId="0" builtinId="0"/>
    <cellStyle name="Normal 2" xfId="2" xr:uid="{E130F72D-C5DB-41E0-8147-9E1C3DADD4E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listo MT" panose="02040603050505030304" pitchFamily="18" charset="0"/>
              </a:rPr>
              <a:t>Earnings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Presentation!$D$7</c:f>
              <c:strCache>
                <c:ptCount val="1"/>
                <c:pt idx="0">
                  <c:v> EBITDA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Presentation!$E$5:$L$5</c:f>
              <c:numCache>
                <c:formatCode>"FY"\ yy</c:formatCode>
                <c:ptCount val="8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</c:numCache>
            </c:numRef>
          </c:cat>
          <c:val>
            <c:numRef>
              <c:f>Presentation!$E$7:$L$7</c:f>
              <c:numCache>
                <c:formatCode>_("$"* #,##0_);_("$"* \(#,##0\);_("$"* "-"??_);_(@_)</c:formatCode>
                <c:ptCount val="8"/>
                <c:pt idx="0">
                  <c:v>478336.62301740068</c:v>
                </c:pt>
                <c:pt idx="1">
                  <c:v>484191.37642569334</c:v>
                </c:pt>
                <c:pt idx="2">
                  <c:v>506656.92009949498</c:v>
                </c:pt>
                <c:pt idx="3">
                  <c:v>555267.69300262362</c:v>
                </c:pt>
                <c:pt idx="4">
                  <c:v>564646.35717947327</c:v>
                </c:pt>
                <c:pt idx="5">
                  <c:v>584684.72431040299</c:v>
                </c:pt>
                <c:pt idx="6">
                  <c:v>612013.34213297907</c:v>
                </c:pt>
                <c:pt idx="7">
                  <c:v>641406.79311587545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78-45C9-A261-5732E928DDAC}"/>
            </c:ext>
          </c:extLst>
        </c:ser>
        <c:ser>
          <c:idx val="1"/>
          <c:order val="1"/>
          <c:tx>
            <c:strRef>
              <c:f>Presentation!$D$8</c:f>
              <c:strCache>
                <c:ptCount val="1"/>
                <c:pt idx="0">
                  <c:v> EBIT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Presentation!$E$5:$L$5</c:f>
              <c:numCache>
                <c:formatCode>"FY"\ yy</c:formatCode>
                <c:ptCount val="8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</c:numCache>
            </c:numRef>
          </c:cat>
          <c:val>
            <c:numRef>
              <c:f>Presentation!$E$8:$L$8</c:f>
              <c:numCache>
                <c:formatCode>_("$"* #,##0_);_("$"* \(#,##0\);_("$"* "-"??_);_(@_)</c:formatCode>
                <c:ptCount val="8"/>
                <c:pt idx="0">
                  <c:v>396112.25381508825</c:v>
                </c:pt>
                <c:pt idx="1">
                  <c:v>406509.09778250946</c:v>
                </c:pt>
                <c:pt idx="2">
                  <c:v>426294.94310478237</c:v>
                </c:pt>
                <c:pt idx="3">
                  <c:v>470491.83402551227</c:v>
                </c:pt>
                <c:pt idx="4">
                  <c:v>476396.02828224469</c:v>
                </c:pt>
                <c:pt idx="5">
                  <c:v>490700.94527782209</c:v>
                </c:pt>
                <c:pt idx="6">
                  <c:v>515486.7384627795</c:v>
                </c:pt>
                <c:pt idx="7">
                  <c:v>540589.50504343049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78-45C9-A261-5732E928DDAC}"/>
            </c:ext>
          </c:extLst>
        </c:ser>
        <c:ser>
          <c:idx val="2"/>
          <c:order val="2"/>
          <c:tx>
            <c:strRef>
              <c:f>Presentation!$D$9</c:f>
              <c:strCache>
                <c:ptCount val="1"/>
                <c:pt idx="0">
                  <c:v> Net Income </c:v>
                </c:pt>
              </c:strCache>
            </c:strRef>
          </c:tx>
          <c:spPr>
            <a:ln w="349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Presentation!$E$5:$L$5</c:f>
              <c:numCache>
                <c:formatCode>"FY"\ yy</c:formatCode>
                <c:ptCount val="8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</c:numCache>
            </c:numRef>
          </c:cat>
          <c:val>
            <c:numRef>
              <c:f>Presentation!$E$9:$L$9</c:f>
              <c:numCache>
                <c:formatCode>_("$"* #,##0_);_("$"* \(#,##0\);_("$"* "-"??_);_(@_)</c:formatCode>
                <c:ptCount val="8"/>
                <c:pt idx="0">
                  <c:v>266918.1435753681</c:v>
                </c:pt>
                <c:pt idx="1">
                  <c:v>277602.97905778058</c:v>
                </c:pt>
                <c:pt idx="2">
                  <c:v>291954.02959693881</c:v>
                </c:pt>
                <c:pt idx="3">
                  <c:v>323881.5910691485</c:v>
                </c:pt>
                <c:pt idx="4">
                  <c:v>327513.48581241397</c:v>
                </c:pt>
                <c:pt idx="5">
                  <c:v>337670.51755141019</c:v>
                </c:pt>
                <c:pt idx="6">
                  <c:v>356290.04718479578</c:v>
                </c:pt>
                <c:pt idx="7">
                  <c:v>374377.50192575087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78-45C9-A261-5732E928D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55279"/>
        <c:axId val="113046639"/>
      </c:lineChart>
      <c:dateAx>
        <c:axId val="113055279"/>
        <c:scaling>
          <c:orientation val="minMax"/>
        </c:scaling>
        <c:delete val="0"/>
        <c:axPos val="b"/>
        <c:numFmt formatCode="&quot;FY&quot;\ 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6639"/>
        <c:crosses val="autoZero"/>
        <c:auto val="1"/>
        <c:lblOffset val="100"/>
        <c:baseTimeUnit val="years"/>
      </c:dateAx>
      <c:valAx>
        <c:axId val="11304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5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sto MT" panose="02040603050505030304" pitchFamily="18" charset="0"/>
              </a:rPr>
              <a:t>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Presentation!$D$11:$D$12</c:f>
              <c:strCache>
                <c:ptCount val="2"/>
                <c:pt idx="0">
                  <c:v> Equity Value </c:v>
                </c:pt>
                <c:pt idx="1">
                  <c:v> Market Capitalization </c:v>
                </c:pt>
              </c:strCache>
            </c:strRef>
          </c:cat>
          <c:val>
            <c:numRef>
              <c:f>Presentation!$E$11:$E$12</c:f>
              <c:numCache>
                <c:formatCode>_("$"* #,##0_);_("$"* \(#,##0\);_("$"* "-"??_);_(@_)</c:formatCode>
                <c:ptCount val="2"/>
                <c:pt idx="0">
                  <c:v>4045942.7438032255</c:v>
                </c:pt>
                <c:pt idx="1">
                  <c:v>4129223.6811109446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7-4722-B56D-0D31E5D70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3057679"/>
        <c:axId val="113061039"/>
      </c:barChart>
      <c:catAx>
        <c:axId val="11305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61039"/>
        <c:crosses val="autoZero"/>
        <c:auto val="1"/>
        <c:lblAlgn val="ctr"/>
        <c:lblOffset val="100"/>
        <c:noMultiLvlLbl val="0"/>
      </c:catAx>
      <c:valAx>
        <c:axId val="113061039"/>
        <c:scaling>
          <c:orientation val="minMax"/>
          <c:max val="5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57679"/>
        <c:crosses val="autoZero"/>
        <c:crossBetween val="between"/>
        <c:majorUnit val="1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sto MT" panose="02040603050505030304" pitchFamily="18" charset="0"/>
              </a:rPr>
              <a:t>Earnings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Presentation!$D$7</c:f>
              <c:strCache>
                <c:ptCount val="1"/>
                <c:pt idx="0">
                  <c:v> EBITDA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Presentation!$O$5:$V$5</c:f>
              <c:numCache>
                <c:formatCode>"FY"\ yy</c:formatCode>
                <c:ptCount val="8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</c:numCache>
            </c:numRef>
          </c:cat>
          <c:val>
            <c:numRef>
              <c:f>Presentation!$O$7:$V$7</c:f>
              <c:numCache>
                <c:formatCode>_("$"* #,##0_);_("$"* \(#,##0\);_("$"* "-"??_);_(@_)</c:formatCode>
                <c:ptCount val="8"/>
                <c:pt idx="0">
                  <c:v>478336.62301740068</c:v>
                </c:pt>
                <c:pt idx="1">
                  <c:v>371641.12945973058</c:v>
                </c:pt>
                <c:pt idx="2">
                  <c:v>377924.22887859767</c:v>
                </c:pt>
                <c:pt idx="3">
                  <c:v>415251.12146388041</c:v>
                </c:pt>
                <c:pt idx="4">
                  <c:v>434897.43503686186</c:v>
                </c:pt>
                <c:pt idx="5">
                  <c:v>470937.04116187617</c:v>
                </c:pt>
                <c:pt idx="6">
                  <c:v>492949.00398780231</c:v>
                </c:pt>
                <c:pt idx="7">
                  <c:v>516624.09632367356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6-40E9-AF69-21A4F2665FE5}"/>
            </c:ext>
          </c:extLst>
        </c:ser>
        <c:ser>
          <c:idx val="1"/>
          <c:order val="1"/>
          <c:tx>
            <c:strRef>
              <c:f>Presentation!$D$8</c:f>
              <c:strCache>
                <c:ptCount val="1"/>
                <c:pt idx="0">
                  <c:v> EBIT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Presentation!$O$5:$V$5</c:f>
              <c:numCache>
                <c:formatCode>"FY"\ yy</c:formatCode>
                <c:ptCount val="8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</c:numCache>
            </c:numRef>
          </c:cat>
          <c:val>
            <c:numRef>
              <c:f>Presentation!$O$8:$V$8</c:f>
              <c:numCache>
                <c:formatCode>_("$"* #,##0_);_("$"* \(#,##0\);_("$"* "-"??_);_(@_)</c:formatCode>
                <c:ptCount val="8"/>
                <c:pt idx="0">
                  <c:v>396112.25381508825</c:v>
                </c:pt>
                <c:pt idx="1">
                  <c:v>297457.208358982</c:v>
                </c:pt>
                <c:pt idx="2">
                  <c:v>306811.64462443889</c:v>
                </c:pt>
                <c:pt idx="3">
                  <c:v>344864.14145383309</c:v>
                </c:pt>
                <c:pt idx="4">
                  <c:v>362435.56956579979</c:v>
                </c:pt>
                <c:pt idx="5">
                  <c:v>395237.3675180719</c:v>
                </c:pt>
                <c:pt idx="6">
                  <c:v>415201.20036686194</c:v>
                </c:pt>
                <c:pt idx="7">
                  <c:v>435420.34091720282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76-40E9-AF69-21A4F2665FE5}"/>
            </c:ext>
          </c:extLst>
        </c:ser>
        <c:ser>
          <c:idx val="2"/>
          <c:order val="2"/>
          <c:tx>
            <c:strRef>
              <c:f>Presentation!$D$9</c:f>
              <c:strCache>
                <c:ptCount val="1"/>
                <c:pt idx="0">
                  <c:v> Net Income </c:v>
                </c:pt>
              </c:strCache>
            </c:strRef>
          </c:tx>
          <c:spPr>
            <a:ln w="349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Presentation!$O$5:$V$5</c:f>
              <c:numCache>
                <c:formatCode>"FY"\ yy</c:formatCode>
                <c:ptCount val="8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</c:numCache>
            </c:numRef>
          </c:cat>
          <c:val>
            <c:numRef>
              <c:f>Presentation!$O$9:$V$9</c:f>
              <c:numCache>
                <c:formatCode>_("$"* #,##0_);_("$"* \(#,##0\);_("$"* "-"??_);_(@_)</c:formatCode>
                <c:ptCount val="8"/>
                <c:pt idx="0">
                  <c:v>266918.1435753681</c:v>
                </c:pt>
                <c:pt idx="1">
                  <c:v>195976.97062639159</c:v>
                </c:pt>
                <c:pt idx="2">
                  <c:v>203601.86346196913</c:v>
                </c:pt>
                <c:pt idx="3">
                  <c:v>231974.85851135667</c:v>
                </c:pt>
                <c:pt idx="4">
                  <c:v>244651.27605577678</c:v>
                </c:pt>
                <c:pt idx="5">
                  <c:v>269173.33866273868</c:v>
                </c:pt>
                <c:pt idx="6">
                  <c:v>284155.8474550047</c:v>
                </c:pt>
                <c:pt idx="7">
                  <c:v>298777.8736247599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76-40E9-AF69-21A4F2665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0980639"/>
        <c:axId val="2000954719"/>
      </c:lineChart>
      <c:dateAx>
        <c:axId val="2000980639"/>
        <c:scaling>
          <c:orientation val="minMax"/>
        </c:scaling>
        <c:delete val="0"/>
        <c:axPos val="b"/>
        <c:numFmt formatCode="&quot;FY&quot;\ 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54719"/>
        <c:crosses val="autoZero"/>
        <c:auto val="1"/>
        <c:lblOffset val="100"/>
        <c:baseTimeUnit val="years"/>
      </c:dateAx>
      <c:valAx>
        <c:axId val="2000954719"/>
        <c:scaling>
          <c:orientation val="minMax"/>
          <c:max val="7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8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sto MT" panose="02040603050505030304" pitchFamily="18" charset="0"/>
              </a:rPr>
              <a:t>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Base Case</c:v>
          </c:tx>
          <c:spPr>
            <a:solidFill>
              <a:schemeClr val="bg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Presentation!$E$11:$E$12</c:f>
              <c:numCache>
                <c:formatCode>_("$"* #,##0_);_("$"* \(#,##0\);_("$"* "-"??_);_(@_)</c:formatCode>
                <c:ptCount val="2"/>
                <c:pt idx="0">
                  <c:v>4045942.7438032255</c:v>
                </c:pt>
                <c:pt idx="1">
                  <c:v>4129223.6811109446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F3-4FD1-B45B-6D06A56E308B}"/>
            </c:ext>
          </c:extLst>
        </c:ser>
        <c:ser>
          <c:idx val="0"/>
          <c:order val="1"/>
          <c:tx>
            <c:v>Downside Case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Presentation!$D$11:$D$12</c:f>
              <c:strCache>
                <c:ptCount val="2"/>
                <c:pt idx="0">
                  <c:v> Equity Value </c:v>
                </c:pt>
                <c:pt idx="1">
                  <c:v> Market Capitalization </c:v>
                </c:pt>
              </c:strCache>
            </c:strRef>
          </c:cat>
          <c:val>
            <c:numRef>
              <c:f>Presentation!$O$11:$O$12</c:f>
              <c:numCache>
                <c:formatCode>_("$"* #,##0_);_("$"* \(#,##0\);_("$"* "-"??_);_(@_)</c:formatCode>
                <c:ptCount val="2"/>
                <c:pt idx="0">
                  <c:v>3198602.3476086389</c:v>
                </c:pt>
                <c:pt idx="1">
                  <c:v>3203017.7229044172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3-4FD1-B45B-6D06A56E3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00959999"/>
        <c:axId val="2000953759"/>
      </c:barChart>
      <c:catAx>
        <c:axId val="200095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53759"/>
        <c:crosses val="autoZero"/>
        <c:auto val="1"/>
        <c:lblAlgn val="ctr"/>
        <c:lblOffset val="100"/>
        <c:noMultiLvlLbl val="0"/>
      </c:catAx>
      <c:valAx>
        <c:axId val="2000953759"/>
        <c:scaling>
          <c:orientation val="minMax"/>
          <c:max val="5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59999"/>
        <c:crosses val="autoZero"/>
        <c:crossBetween val="between"/>
        <c:majorUnit val="10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21</xdr:row>
      <xdr:rowOff>33337</xdr:rowOff>
    </xdr:from>
    <xdr:to>
      <xdr:col>7</xdr:col>
      <xdr:colOff>133350</xdr:colOff>
      <xdr:row>35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07A960-D9ED-A8C3-1BDE-C343F3A40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323850</xdr:colOff>
      <xdr:row>21</xdr:row>
      <xdr:rowOff>52387</xdr:rowOff>
    </xdr:from>
    <xdr:to>
      <xdr:col>12</xdr:col>
      <xdr:colOff>885825</xdr:colOff>
      <xdr:row>35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D02B7F-975D-E844-AB8F-9C30B1B12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57150</xdr:colOff>
      <xdr:row>21</xdr:row>
      <xdr:rowOff>52387</xdr:rowOff>
    </xdr:from>
    <xdr:to>
      <xdr:col>17</xdr:col>
      <xdr:colOff>180975</xdr:colOff>
      <xdr:row>35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CBBCB3-1FEF-C9ED-677C-C69D7CE18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285750</xdr:colOff>
      <xdr:row>21</xdr:row>
      <xdr:rowOff>38099</xdr:rowOff>
    </xdr:from>
    <xdr:to>
      <xdr:col>23</xdr:col>
      <xdr:colOff>333374</xdr:colOff>
      <xdr:row>35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968658-E405-42A1-A429-91108AA9B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ewyorkfed.org/markets/reference-rates/so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5A50-594C-4319-BD6A-FA9419ADE22D}">
  <dimension ref="A2:AI21"/>
  <sheetViews>
    <sheetView showGridLines="0" tabSelected="1" workbookViewId="0">
      <selection activeCell="D5" sqref="D5"/>
    </sheetView>
  </sheetViews>
  <sheetFormatPr defaultRowHeight="15" x14ac:dyDescent="0.25"/>
  <cols>
    <col min="1" max="3" width="9.140625" style="203"/>
    <col min="4" max="4" width="28.28515625" style="204" customWidth="1"/>
    <col min="5" max="12" width="14.28515625" style="204" bestFit="1" customWidth="1"/>
    <col min="13" max="13" width="14.28515625" style="203" customWidth="1"/>
    <col min="14" max="14" width="28.85546875" style="204" bestFit="1" customWidth="1"/>
    <col min="15" max="15" width="14.28515625" style="204" bestFit="1" customWidth="1"/>
    <col min="16" max="16" width="14.28515625" style="204" customWidth="1"/>
    <col min="17" max="22" width="14.28515625" style="204" bestFit="1" customWidth="1"/>
    <col min="23" max="23" width="9.28515625" style="203" bestFit="1" customWidth="1"/>
    <col min="24" max="24" width="28.85546875" style="204" bestFit="1" customWidth="1"/>
    <col min="25" max="25" width="14.28515625" style="204" hidden="1" customWidth="1"/>
    <col min="26" max="26" width="14.28515625" style="219" customWidth="1"/>
    <col min="27" max="32" width="14.28515625" style="219" bestFit="1" customWidth="1"/>
    <col min="33" max="16384" width="9.140625" style="203"/>
  </cols>
  <sheetData>
    <row r="2" spans="1:35" x14ac:dyDescent="0.25">
      <c r="F2" s="214"/>
    </row>
    <row r="3" spans="1:35" x14ac:dyDescent="0.25">
      <c r="F3" s="214"/>
    </row>
    <row r="4" spans="1:35" x14ac:dyDescent="0.25">
      <c r="F4" s="214"/>
    </row>
    <row r="5" spans="1:35" s="206" customFormat="1" ht="15.75" x14ac:dyDescent="0.25">
      <c r="D5" s="202"/>
      <c r="E5" s="202">
        <v>45657</v>
      </c>
      <c r="F5" s="202">
        <v>46022</v>
      </c>
      <c r="G5" s="202">
        <v>46387</v>
      </c>
      <c r="H5" s="202">
        <v>46752</v>
      </c>
      <c r="I5" s="202">
        <v>47118</v>
      </c>
      <c r="J5" s="202">
        <v>47483</v>
      </c>
      <c r="K5" s="202">
        <v>47848</v>
      </c>
      <c r="L5" s="202">
        <v>48213</v>
      </c>
      <c r="N5" s="202"/>
      <c r="O5" s="202">
        <v>45657</v>
      </c>
      <c r="P5" s="202">
        <v>46022</v>
      </c>
      <c r="Q5" s="202">
        <v>46387</v>
      </c>
      <c r="R5" s="202">
        <v>46752</v>
      </c>
      <c r="S5" s="202">
        <v>47118</v>
      </c>
      <c r="T5" s="202">
        <v>47483</v>
      </c>
      <c r="U5" s="202">
        <v>47848</v>
      </c>
      <c r="V5" s="202">
        <v>48213</v>
      </c>
      <c r="X5" s="202"/>
      <c r="Y5" s="202"/>
      <c r="Z5" s="202">
        <f>P5</f>
        <v>46022</v>
      </c>
      <c r="AA5" s="202">
        <f t="shared" ref="AA5:AF5" si="0">Q5</f>
        <v>46387</v>
      </c>
      <c r="AB5" s="202">
        <f t="shared" si="0"/>
        <v>46752</v>
      </c>
      <c r="AC5" s="202">
        <f t="shared" si="0"/>
        <v>47118</v>
      </c>
      <c r="AD5" s="202">
        <f t="shared" si="0"/>
        <v>47483</v>
      </c>
      <c r="AE5" s="202">
        <f t="shared" si="0"/>
        <v>47848</v>
      </c>
      <c r="AF5" s="202">
        <f t="shared" si="0"/>
        <v>48213</v>
      </c>
      <c r="AG5" s="217"/>
      <c r="AH5" s="217"/>
      <c r="AI5" s="217"/>
    </row>
    <row r="6" spans="1:35" s="205" customFormat="1" x14ac:dyDescent="0.25">
      <c r="A6" s="203"/>
      <c r="B6" s="203"/>
      <c r="C6" s="203"/>
      <c r="D6" s="223" t="str">
        <f>'Valuation (Base)'!D5</f>
        <v>Revenue</v>
      </c>
      <c r="E6" s="201">
        <f>'Valuation (Base)'!F5</f>
        <v>3820845.7459999998</v>
      </c>
      <c r="F6" s="201">
        <f>'Valuation (Base)'!G5</f>
        <v>3800977.3481207998</v>
      </c>
      <c r="G6" s="201">
        <f>'Valuation (Base)'!H5</f>
        <v>3978863.0880128532</v>
      </c>
      <c r="H6" s="201">
        <f>'Valuation (Base)'!I5</f>
        <v>4240672.2792040994</v>
      </c>
      <c r="I6" s="201">
        <f>'Valuation (Base)'!J5</f>
        <v>4373829.3887711084</v>
      </c>
      <c r="J6" s="201">
        <f>'Valuation (Base)'!K5</f>
        <v>4592520.858209664</v>
      </c>
      <c r="K6" s="201">
        <f>'Valuation (Base)'!L5</f>
        <v>4765934.445815661</v>
      </c>
      <c r="L6" s="201">
        <f>'Valuation (Base)'!M5</f>
        <v>4986845.0392481079</v>
      </c>
      <c r="M6" s="203"/>
      <c r="N6" s="223" t="s">
        <v>0</v>
      </c>
      <c r="O6" s="201">
        <f>'Valuation (Downside)'!F5</f>
        <v>3820845.7459999998</v>
      </c>
      <c r="P6" s="201">
        <f>'Valuation (Downside)'!G5</f>
        <v>3629803.4586999998</v>
      </c>
      <c r="Q6" s="201">
        <f>'Valuation (Downside)'!H5</f>
        <v>3520909.3549389997</v>
      </c>
      <c r="R6" s="201">
        <f>'Valuation (Downside)'!I5</f>
        <v>3520909.3549389997</v>
      </c>
      <c r="S6" s="201">
        <f>'Valuation (Downside)'!J5</f>
        <v>3591327.5420377799</v>
      </c>
      <c r="T6" s="201">
        <f>'Valuation (Downside)'!K5</f>
        <v>3699067.3682989134</v>
      </c>
      <c r="U6" s="201">
        <f>'Valuation (Downside)'!L5</f>
        <v>3838744.1521258806</v>
      </c>
      <c r="V6" s="201">
        <f>'Valuation (Downside)'!M5</f>
        <v>4016677.6210652194</v>
      </c>
      <c r="X6" s="211" t="str">
        <f>_xlfn.CONCAT("Δ ",N6)</f>
        <v>Δ Revenue</v>
      </c>
      <c r="Z6" s="222">
        <f>P6-F6</f>
        <v>-171173.88942079991</v>
      </c>
      <c r="AA6" s="222">
        <f t="shared" ref="AA6:AF6" si="1">Q6-G6</f>
        <v>-457953.73307385342</v>
      </c>
      <c r="AB6" s="222">
        <f t="shared" si="1"/>
        <v>-719762.92426509969</v>
      </c>
      <c r="AC6" s="222">
        <f t="shared" si="1"/>
        <v>-782501.84673332842</v>
      </c>
      <c r="AD6" s="222">
        <f t="shared" si="1"/>
        <v>-893453.48991075065</v>
      </c>
      <c r="AE6" s="222">
        <f t="shared" si="1"/>
        <v>-927190.2936897804</v>
      </c>
      <c r="AF6" s="222">
        <f t="shared" si="1"/>
        <v>-970167.41818288853</v>
      </c>
    </row>
    <row r="7" spans="1:35" s="205" customFormat="1" x14ac:dyDescent="0.25">
      <c r="A7" s="203"/>
      <c r="B7" s="203"/>
      <c r="C7" s="203"/>
      <c r="D7" s="223" t="str">
        <f>'Valuation (Base)'!D72</f>
        <v>EBITDA</v>
      </c>
      <c r="E7" s="201">
        <f>'Valuation (Base)'!F72</f>
        <v>478336.62301740068</v>
      </c>
      <c r="F7" s="201">
        <f>'Valuation (Base)'!G72</f>
        <v>484191.37642569334</v>
      </c>
      <c r="G7" s="201">
        <f>'Valuation (Base)'!H72</f>
        <v>506656.92009949498</v>
      </c>
      <c r="H7" s="201">
        <f>'Valuation (Base)'!I72</f>
        <v>555267.69300262362</v>
      </c>
      <c r="I7" s="201">
        <f>'Valuation (Base)'!J72</f>
        <v>564646.35717947327</v>
      </c>
      <c r="J7" s="201">
        <f>'Valuation (Base)'!K72</f>
        <v>584684.72431040299</v>
      </c>
      <c r="K7" s="201">
        <f>'Valuation (Base)'!L72</f>
        <v>612013.34213297907</v>
      </c>
      <c r="L7" s="201">
        <f>'Valuation (Base)'!M72</f>
        <v>641406.79311587545</v>
      </c>
      <c r="M7" s="203"/>
      <c r="N7" s="223" t="s">
        <v>336</v>
      </c>
      <c r="O7" s="201">
        <f>'Valuation (Downside)'!F66</f>
        <v>478336.62301740068</v>
      </c>
      <c r="P7" s="201">
        <f>'Valuation (Downside)'!G66</f>
        <v>371641.12945973058</v>
      </c>
      <c r="Q7" s="201">
        <f>'Valuation (Downside)'!H66</f>
        <v>377924.22887859767</v>
      </c>
      <c r="R7" s="201">
        <f>'Valuation (Downside)'!I66</f>
        <v>415251.12146388041</v>
      </c>
      <c r="S7" s="201">
        <f>'Valuation (Downside)'!J66</f>
        <v>434897.43503686186</v>
      </c>
      <c r="T7" s="201">
        <f>'Valuation (Downside)'!K66</f>
        <v>470937.04116187617</v>
      </c>
      <c r="U7" s="201">
        <f>'Valuation (Downside)'!L66</f>
        <v>492949.00398780231</v>
      </c>
      <c r="V7" s="201">
        <f>'Valuation (Downside)'!M66</f>
        <v>516624.09632367356</v>
      </c>
      <c r="X7" s="211" t="str">
        <f>_xlfn.CONCAT("Δ ",N7)</f>
        <v>Δ EBITDA</v>
      </c>
      <c r="Z7" s="222">
        <f t="shared" ref="Z7:Z10" si="2">P7-F7</f>
        <v>-112550.24696596275</v>
      </c>
      <c r="AA7" s="222">
        <f t="shared" ref="AA7:AA10" si="3">Q7-G7</f>
        <v>-128732.69122089731</v>
      </c>
      <c r="AB7" s="222">
        <f t="shared" ref="AB7:AB10" si="4">R7-H7</f>
        <v>-140016.57153874321</v>
      </c>
      <c r="AC7" s="222">
        <f t="shared" ref="AC7:AC10" si="5">S7-I7</f>
        <v>-129748.92214261141</v>
      </c>
      <c r="AD7" s="222">
        <f t="shared" ref="AD7:AD10" si="6">T7-J7</f>
        <v>-113747.68314852682</v>
      </c>
      <c r="AE7" s="222">
        <f t="shared" ref="AE7:AE10" si="7">U7-K7</f>
        <v>-119064.33814517676</v>
      </c>
      <c r="AF7" s="222">
        <f t="shared" ref="AF7:AF10" si="8">V7-L7</f>
        <v>-124782.6967922019</v>
      </c>
    </row>
    <row r="8" spans="1:35" s="205" customFormat="1" x14ac:dyDescent="0.25">
      <c r="A8" s="203"/>
      <c r="B8" s="203"/>
      <c r="C8" s="203"/>
      <c r="D8" s="223" t="str">
        <f>'Valuation (Base)'!D9</f>
        <v>EBIT</v>
      </c>
      <c r="E8" s="201">
        <f>'Valuation (Base)'!F9</f>
        <v>396112.25381508825</v>
      </c>
      <c r="F8" s="201">
        <f>'Valuation (Base)'!G9</f>
        <v>406509.09778250946</v>
      </c>
      <c r="G8" s="201">
        <f>'Valuation (Base)'!H9</f>
        <v>426294.94310478237</v>
      </c>
      <c r="H8" s="201">
        <f>'Valuation (Base)'!I9</f>
        <v>470491.83402551227</v>
      </c>
      <c r="I8" s="201">
        <f>'Valuation (Base)'!J9</f>
        <v>476396.02828224469</v>
      </c>
      <c r="J8" s="201">
        <f>'Valuation (Base)'!K9</f>
        <v>490700.94527782209</v>
      </c>
      <c r="K8" s="201">
        <f>'Valuation (Base)'!L9</f>
        <v>515486.7384627795</v>
      </c>
      <c r="L8" s="201">
        <f>'Valuation (Base)'!M9</f>
        <v>540589.50504343049</v>
      </c>
      <c r="M8" s="203"/>
      <c r="N8" s="223" t="s">
        <v>230</v>
      </c>
      <c r="O8" s="201">
        <f>'Valuation (Downside)'!F9</f>
        <v>396112.25381508825</v>
      </c>
      <c r="P8" s="201">
        <f>'Valuation (Downside)'!G9</f>
        <v>297457.208358982</v>
      </c>
      <c r="Q8" s="201">
        <f>'Valuation (Downside)'!H9</f>
        <v>306811.64462443889</v>
      </c>
      <c r="R8" s="201">
        <f>'Valuation (Downside)'!I9</f>
        <v>344864.14145383309</v>
      </c>
      <c r="S8" s="201">
        <f>'Valuation (Downside)'!J9</f>
        <v>362435.56956579979</v>
      </c>
      <c r="T8" s="201">
        <f>'Valuation (Downside)'!K9</f>
        <v>395237.3675180719</v>
      </c>
      <c r="U8" s="201">
        <f>'Valuation (Downside)'!L9</f>
        <v>415201.20036686194</v>
      </c>
      <c r="V8" s="201">
        <f>'Valuation (Downside)'!M9</f>
        <v>435420.34091720282</v>
      </c>
      <c r="X8" s="211" t="str">
        <f t="shared" ref="X8:X10" si="9">_xlfn.CONCAT("Δ ",N8)</f>
        <v>Δ EBIT</v>
      </c>
      <c r="Z8" s="222">
        <f t="shared" si="2"/>
        <v>-109051.88942352746</v>
      </c>
      <c r="AA8" s="222">
        <f t="shared" si="3"/>
        <v>-119483.29848034348</v>
      </c>
      <c r="AB8" s="222">
        <f t="shared" si="4"/>
        <v>-125627.69257167919</v>
      </c>
      <c r="AC8" s="222">
        <f t="shared" si="5"/>
        <v>-113960.4587164449</v>
      </c>
      <c r="AD8" s="222">
        <f t="shared" si="6"/>
        <v>-95463.577759750187</v>
      </c>
      <c r="AE8" s="222">
        <f t="shared" si="7"/>
        <v>-100285.53809591755</v>
      </c>
      <c r="AF8" s="222">
        <f t="shared" si="8"/>
        <v>-105169.16412622767</v>
      </c>
    </row>
    <row r="9" spans="1:35" s="205" customFormat="1" x14ac:dyDescent="0.25">
      <c r="A9" s="203"/>
      <c r="B9" s="203"/>
      <c r="C9" s="203"/>
      <c r="D9" s="223" t="str">
        <f>'Valuation (Base)'!D13</f>
        <v>Net Income</v>
      </c>
      <c r="E9" s="201">
        <f>'Valuation (Base)'!F13</f>
        <v>266918.1435753681</v>
      </c>
      <c r="F9" s="201">
        <f>'Valuation (Base)'!G13</f>
        <v>277602.97905778058</v>
      </c>
      <c r="G9" s="201">
        <f>'Valuation (Base)'!H13</f>
        <v>291954.02959693881</v>
      </c>
      <c r="H9" s="201">
        <f>'Valuation (Base)'!I13</f>
        <v>323881.5910691485</v>
      </c>
      <c r="I9" s="201">
        <f>'Valuation (Base)'!J13</f>
        <v>327513.48581241397</v>
      </c>
      <c r="J9" s="201">
        <f>'Valuation (Base)'!K13</f>
        <v>337670.51755141019</v>
      </c>
      <c r="K9" s="201">
        <f>'Valuation (Base)'!L13</f>
        <v>356290.04718479578</v>
      </c>
      <c r="L9" s="201">
        <f>'Valuation (Base)'!M13</f>
        <v>374377.50192575087</v>
      </c>
      <c r="M9" s="203"/>
      <c r="N9" s="223" t="s">
        <v>221</v>
      </c>
      <c r="O9" s="201">
        <f>'Valuation (Downside)'!F13</f>
        <v>266918.1435753681</v>
      </c>
      <c r="P9" s="201">
        <f>'Valuation (Downside)'!G13</f>
        <v>195976.97062639159</v>
      </c>
      <c r="Q9" s="201">
        <f>'Valuation (Downside)'!H13</f>
        <v>203601.86346196913</v>
      </c>
      <c r="R9" s="201">
        <f>'Valuation (Downside)'!I13</f>
        <v>231974.85851135667</v>
      </c>
      <c r="S9" s="201">
        <f>'Valuation (Downside)'!J13</f>
        <v>244651.27605577678</v>
      </c>
      <c r="T9" s="201">
        <f>'Valuation (Downside)'!K13</f>
        <v>269173.33866273868</v>
      </c>
      <c r="U9" s="201">
        <f>'Valuation (Downside)'!L13</f>
        <v>284155.8474550047</v>
      </c>
      <c r="V9" s="201">
        <f>'Valuation (Downside)'!M13</f>
        <v>298777.8736247599</v>
      </c>
      <c r="X9" s="211" t="str">
        <f t="shared" si="9"/>
        <v>Δ Net Income</v>
      </c>
      <c r="Z9" s="222">
        <f t="shared" si="2"/>
        <v>-81626.008431388997</v>
      </c>
      <c r="AA9" s="222">
        <f t="shared" si="3"/>
        <v>-88352.166134969681</v>
      </c>
      <c r="AB9" s="222">
        <f t="shared" si="4"/>
        <v>-91906.732557791838</v>
      </c>
      <c r="AC9" s="222">
        <f t="shared" si="5"/>
        <v>-82862.209756637196</v>
      </c>
      <c r="AD9" s="222">
        <f t="shared" si="6"/>
        <v>-68497.178888671508</v>
      </c>
      <c r="AE9" s="222">
        <f t="shared" si="7"/>
        <v>-72134.199729791086</v>
      </c>
      <c r="AF9" s="222">
        <f t="shared" si="8"/>
        <v>-75599.628300990968</v>
      </c>
    </row>
    <row r="10" spans="1:35" s="205" customFormat="1" x14ac:dyDescent="0.25">
      <c r="A10" s="203"/>
      <c r="B10" s="203"/>
      <c r="C10" s="203"/>
      <c r="D10" s="223" t="s">
        <v>223</v>
      </c>
      <c r="E10" s="201">
        <f>'Valuation (Base)'!F17</f>
        <v>257155.98493863124</v>
      </c>
      <c r="F10" s="201">
        <f>'Valuation (Base)'!G17</f>
        <v>329315.32812858658</v>
      </c>
      <c r="G10" s="201">
        <f>'Valuation (Base)'!H17</f>
        <v>275755.63415667519</v>
      </c>
      <c r="H10" s="201">
        <f>'Valuation (Base)'!I17</f>
        <v>281751.36077763524</v>
      </c>
      <c r="I10" s="201">
        <f>'Valuation (Base)'!J17</f>
        <v>320125.96933632274</v>
      </c>
      <c r="J10" s="201">
        <f>'Valuation (Base)'!K17</f>
        <v>306573.89093349979</v>
      </c>
      <c r="K10" s="201">
        <f>'Valuation (Base)'!L17</f>
        <v>342268.45940875798</v>
      </c>
      <c r="L10" s="201">
        <f>'Valuation (Base)'!M17</f>
        <v>350798.56505677802</v>
      </c>
      <c r="M10" s="203"/>
      <c r="N10" s="223" t="s">
        <v>223</v>
      </c>
      <c r="O10" s="201">
        <f>'Valuation (Downside)'!F17</f>
        <v>257155.98493863124</v>
      </c>
      <c r="P10" s="201">
        <f>'Valuation (Downside)'!G17</f>
        <v>186827.49687627348</v>
      </c>
      <c r="Q10" s="201">
        <f>'Valuation (Downside)'!H17</f>
        <v>264325.79637137492</v>
      </c>
      <c r="R10" s="201">
        <f>'Valuation (Downside)'!I17</f>
        <v>278154.24686186871</v>
      </c>
      <c r="S10" s="201">
        <f>'Valuation (Downside)'!J17</f>
        <v>251876.1315156722</v>
      </c>
      <c r="T10" s="201">
        <f>'Valuation (Downside)'!K17</f>
        <v>270291.95129574975</v>
      </c>
      <c r="U10" s="201">
        <f>'Valuation (Downside)'!L17</f>
        <v>271274.86008609476</v>
      </c>
      <c r="V10" s="201">
        <f>'Valuation (Downside)'!M17</f>
        <v>279078.56358360604</v>
      </c>
      <c r="X10" s="211" t="str">
        <f t="shared" si="9"/>
        <v>Δ Free Cash Flow</v>
      </c>
      <c r="Z10" s="222">
        <f t="shared" si="2"/>
        <v>-142487.8312523131</v>
      </c>
      <c r="AA10" s="222">
        <f t="shared" si="3"/>
        <v>-11429.837785300275</v>
      </c>
      <c r="AB10" s="222">
        <f t="shared" si="4"/>
        <v>-3597.1139157665311</v>
      </c>
      <c r="AC10" s="222">
        <f t="shared" si="5"/>
        <v>-68249.837820650544</v>
      </c>
      <c r="AD10" s="222">
        <f t="shared" si="6"/>
        <v>-36281.939637750038</v>
      </c>
      <c r="AE10" s="222">
        <f t="shared" si="7"/>
        <v>-70993.599322663213</v>
      </c>
      <c r="AF10" s="222">
        <f t="shared" si="8"/>
        <v>-71720.001473171986</v>
      </c>
    </row>
    <row r="11" spans="1:35" s="205" customFormat="1" x14ac:dyDescent="0.25">
      <c r="A11" s="203"/>
      <c r="B11" s="203"/>
      <c r="C11" s="203"/>
      <c r="D11" s="223" t="s">
        <v>373</v>
      </c>
      <c r="E11" s="201">
        <f>'Valuation (Base)'!M32</f>
        <v>4045942.7438032255</v>
      </c>
      <c r="F11" s="201"/>
      <c r="G11" s="201"/>
      <c r="H11" s="201"/>
      <c r="I11" s="201"/>
      <c r="J11" s="201"/>
      <c r="K11" s="201"/>
      <c r="L11" s="201"/>
      <c r="M11" s="203"/>
      <c r="N11" s="223" t="s">
        <v>373</v>
      </c>
      <c r="O11" s="201">
        <f>'Valuation (Downside)'!M32</f>
        <v>3198602.3476086389</v>
      </c>
      <c r="P11" s="201"/>
      <c r="Q11" s="201"/>
      <c r="R11" s="201"/>
      <c r="S11" s="201"/>
      <c r="T11" s="201"/>
      <c r="U11" s="201"/>
      <c r="V11" s="201"/>
      <c r="X11" s="201"/>
      <c r="Y11" s="201"/>
      <c r="Z11" s="220"/>
      <c r="AA11" s="220"/>
      <c r="AB11" s="220"/>
      <c r="AC11" s="220"/>
      <c r="AD11" s="220"/>
      <c r="AE11" s="220"/>
      <c r="AF11" s="220"/>
    </row>
    <row r="12" spans="1:35" s="205" customFormat="1" x14ac:dyDescent="0.25">
      <c r="A12" s="203"/>
      <c r="B12" s="203"/>
      <c r="C12" s="203"/>
      <c r="D12" s="223" t="str">
        <f>'Valuation (Base)'!D41</f>
        <v>Market Capitalization</v>
      </c>
      <c r="E12" s="201">
        <f>'Valuation (Base)'!F41</f>
        <v>4129223.6811109446</v>
      </c>
      <c r="F12" s="201"/>
      <c r="G12" s="201"/>
      <c r="H12" s="201"/>
      <c r="I12" s="201"/>
      <c r="J12" s="201"/>
      <c r="K12" s="201"/>
      <c r="L12" s="201"/>
      <c r="M12" s="203"/>
      <c r="N12" s="223" t="s">
        <v>355</v>
      </c>
      <c r="O12" s="201">
        <f>'Valuation (Downside)'!F41</f>
        <v>3203017.7229044172</v>
      </c>
      <c r="P12" s="201"/>
      <c r="Q12" s="201"/>
      <c r="R12" s="201"/>
      <c r="S12" s="201"/>
      <c r="T12" s="201"/>
      <c r="U12" s="201"/>
      <c r="V12" s="201"/>
      <c r="X12" s="201"/>
      <c r="Y12" s="201"/>
      <c r="Z12" s="220"/>
      <c r="AA12" s="220"/>
      <c r="AB12" s="220"/>
      <c r="AC12" s="220"/>
      <c r="AD12" s="220"/>
      <c r="AE12" s="220"/>
      <c r="AF12" s="220"/>
    </row>
    <row r="13" spans="1:35" s="205" customFormat="1" x14ac:dyDescent="0.25">
      <c r="A13" s="203"/>
      <c r="B13" s="203"/>
      <c r="C13" s="203"/>
      <c r="D13" s="201"/>
      <c r="E13" s="201"/>
      <c r="F13" s="201"/>
      <c r="G13" s="201"/>
      <c r="H13" s="201"/>
      <c r="I13" s="201"/>
      <c r="J13" s="201"/>
      <c r="K13" s="201"/>
      <c r="L13" s="201"/>
      <c r="M13" s="203"/>
      <c r="N13" s="201"/>
      <c r="O13" s="201"/>
      <c r="P13" s="201"/>
      <c r="Q13" s="201"/>
      <c r="R13" s="201"/>
      <c r="S13" s="201"/>
      <c r="T13" s="201"/>
      <c r="U13" s="201"/>
      <c r="V13" s="201"/>
      <c r="X13" s="201"/>
      <c r="Y13" s="201"/>
      <c r="Z13" s="220"/>
      <c r="AA13" s="220"/>
      <c r="AB13" s="220"/>
      <c r="AC13" s="220"/>
      <c r="AD13" s="220"/>
      <c r="AE13" s="220"/>
      <c r="AF13" s="220"/>
    </row>
    <row r="14" spans="1:35" s="206" customFormat="1" ht="15.75" x14ac:dyDescent="0.25">
      <c r="D14" s="202"/>
      <c r="E14" s="202">
        <v>45657</v>
      </c>
      <c r="F14" s="202">
        <v>46022</v>
      </c>
      <c r="G14" s="202">
        <v>46387</v>
      </c>
      <c r="H14" s="202">
        <v>46752</v>
      </c>
      <c r="I14" s="202">
        <v>47118</v>
      </c>
      <c r="J14" s="202">
        <v>47483</v>
      </c>
      <c r="K14" s="202">
        <v>47848</v>
      </c>
      <c r="L14" s="202">
        <v>48213</v>
      </c>
      <c r="N14" s="202"/>
      <c r="O14" s="202">
        <v>45657</v>
      </c>
      <c r="P14" s="202">
        <v>46022</v>
      </c>
      <c r="Q14" s="202">
        <v>46387</v>
      </c>
      <c r="R14" s="202">
        <v>46752</v>
      </c>
      <c r="S14" s="202">
        <v>47118</v>
      </c>
      <c r="T14" s="202">
        <v>47483</v>
      </c>
      <c r="U14" s="202">
        <v>47848</v>
      </c>
      <c r="V14" s="202">
        <v>48213</v>
      </c>
      <c r="X14" s="202"/>
      <c r="Y14" s="202"/>
      <c r="Z14" s="202">
        <f>Z5</f>
        <v>46022</v>
      </c>
      <c r="AA14" s="202">
        <f t="shared" ref="AA14:AF14" si="10">AA5</f>
        <v>46387</v>
      </c>
      <c r="AB14" s="202">
        <f t="shared" si="10"/>
        <v>46752</v>
      </c>
      <c r="AC14" s="202">
        <f t="shared" si="10"/>
        <v>47118</v>
      </c>
      <c r="AD14" s="202">
        <f t="shared" si="10"/>
        <v>47483</v>
      </c>
      <c r="AE14" s="202">
        <f t="shared" si="10"/>
        <v>47848</v>
      </c>
      <c r="AF14" s="202">
        <f t="shared" si="10"/>
        <v>48213</v>
      </c>
    </row>
    <row r="15" spans="1:35" x14ac:dyDescent="0.25">
      <c r="D15" s="212" t="str">
        <f>'Valuation (Base)'!D60</f>
        <v>Debt-to-EBITDA</v>
      </c>
      <c r="E15" s="213">
        <f>'Valuation (Base)'!F60</f>
        <v>1.1006361476752828</v>
      </c>
      <c r="F15" s="213">
        <f>'Valuation (Base)'!G60</f>
        <v>1.0608634664528314</v>
      </c>
      <c r="G15" s="213">
        <f>'Valuation (Base)'!H60</f>
        <v>1.042516081263331</v>
      </c>
      <c r="H15" s="213">
        <f>'Valuation (Base)'!I60</f>
        <v>0.97422874002156312</v>
      </c>
      <c r="I15" s="213">
        <f>'Valuation (Base)'!J60</f>
        <v>0.98333907213988436</v>
      </c>
      <c r="J15" s="213">
        <f>'Valuation (Base)'!K60</f>
        <v>0.96900769667000053</v>
      </c>
      <c r="K15" s="213">
        <f>'Valuation (Base)'!L60</f>
        <v>0.93750012870707022</v>
      </c>
      <c r="L15" s="213">
        <f>'Valuation (Base)'!M60</f>
        <v>0.91895858317010048</v>
      </c>
      <c r="N15" s="212" t="str">
        <f>D15</f>
        <v>Debt-to-EBITDA</v>
      </c>
      <c r="O15" s="224">
        <f>'Valuation (Downside)'!F60</f>
        <v>1.1013853602508197</v>
      </c>
      <c r="P15" s="224">
        <f>'Valuation (Downside)'!G60</f>
        <v>1.4102272949364349</v>
      </c>
      <c r="Q15" s="224">
        <f>'Valuation (Downside)'!H60</f>
        <v>1.3807549406475104</v>
      </c>
      <c r="R15" s="224">
        <f>'Valuation (Downside)'!I60</f>
        <v>1.2231208365614858</v>
      </c>
      <c r="S15" s="224">
        <f>'Valuation (Downside)'!J60</f>
        <v>1.1733228195072054</v>
      </c>
      <c r="T15" s="224">
        <f>'Valuation (Downside)'!K60</f>
        <v>1.0800244531194425</v>
      </c>
      <c r="U15" s="224">
        <f>'Valuation (Downside)'!L60</f>
        <v>1.0594674902718124</v>
      </c>
      <c r="V15" s="224">
        <f>'Valuation (Downside)'!M60</f>
        <v>1.0192473304294905</v>
      </c>
      <c r="X15" s="218" t="s">
        <v>0</v>
      </c>
      <c r="Y15" s="225"/>
      <c r="Z15" s="226">
        <f>'3-Statement (Downside)'!L10</f>
        <v>-0.05</v>
      </c>
      <c r="AA15" s="226">
        <f>'3-Statement (Downside)'!M10</f>
        <v>-0.03</v>
      </c>
      <c r="AB15" s="226">
        <f>'3-Statement (Downside)'!N10</f>
        <v>0</v>
      </c>
      <c r="AC15" s="226">
        <f>'3-Statement (Downside)'!O10</f>
        <v>0.02</v>
      </c>
      <c r="AD15" s="226">
        <f>'3-Statement (Downside)'!P10</f>
        <v>0.03</v>
      </c>
      <c r="AE15" s="226">
        <f>'3-Statement (Downside)'!Q10</f>
        <v>3.7759999999999995E-2</v>
      </c>
      <c r="AF15" s="226">
        <f>'3-Statement (Downside)'!R10</f>
        <v>4.6351999999999997E-2</v>
      </c>
    </row>
    <row r="16" spans="1:35" x14ac:dyDescent="0.25">
      <c r="D16" s="212" t="str">
        <f>'Valuation (Base)'!D64</f>
        <v>Interest Coverage</v>
      </c>
      <c r="E16" s="213">
        <f>'Valuation (Base)'!F64</f>
        <v>21.080314205166953</v>
      </c>
      <c r="F16" s="213">
        <f>'Valuation (Base)'!G64</f>
        <v>21.681084352610448</v>
      </c>
      <c r="G16" s="213">
        <f>'Valuation (Base)'!H64</f>
        <v>22.867733733819151</v>
      </c>
      <c r="H16" s="213">
        <f>'Valuation (Base)'!I64</f>
        <v>25.571601284423803</v>
      </c>
      <c r="I16" s="213">
        <f>'Valuation (Base)'!J64</f>
        <v>26.223442398625249</v>
      </c>
      <c r="J16" s="213">
        <f>'Valuation (Base)'!K64</f>
        <v>27.369634675595538</v>
      </c>
      <c r="K16" s="213">
        <f>'Valuation (Base)'!L64</f>
        <v>29.112104119570848</v>
      </c>
      <c r="L16" s="213">
        <f>'Valuation (Base)'!M64</f>
        <v>30.877566980286435</v>
      </c>
      <c r="N16" s="212" t="str">
        <f t="shared" ref="N16:N20" si="11">D16</f>
        <v>Interest Coverage</v>
      </c>
      <c r="O16" s="224">
        <f>'Valuation (Downside)'!F64</f>
        <v>21.080314205166953</v>
      </c>
      <c r="P16" s="224">
        <f>'Valuation (Downside)'!G64</f>
        <v>15.866339194618799</v>
      </c>
      <c r="Q16" s="224">
        <f>'Valuation (Downside)'!H64</f>
        <v>16.504497137017246</v>
      </c>
      <c r="R16" s="224">
        <f>'Valuation (Downside)'!I64</f>
        <v>18.711210090126158</v>
      </c>
      <c r="S16" s="224">
        <f>'Valuation (Downside)'!J64</f>
        <v>19.770567670326841</v>
      </c>
      <c r="T16" s="224">
        <f>'Valuation (Downside)'!K64</f>
        <v>21.77198748820306</v>
      </c>
      <c r="U16" s="224">
        <f>'Valuation (Downside)'!L64</f>
        <v>23.071016738093967</v>
      </c>
      <c r="V16" s="224">
        <f>'Valuation (Downside)'!M64</f>
        <v>24.509994267320369</v>
      </c>
      <c r="X16" s="218" t="s">
        <v>374</v>
      </c>
      <c r="Y16" s="225"/>
      <c r="Z16" s="226">
        <f>'3-Statement (Downside)'!L12</f>
        <v>0.01</v>
      </c>
      <c r="AA16" s="226">
        <f>'3-Statement (Downside)'!M12</f>
        <v>8.0000000000000002E-3</v>
      </c>
      <c r="AB16" s="226">
        <f>'3-Statement (Downside)'!N12</f>
        <v>5.0000000000000001E-3</v>
      </c>
      <c r="AC16" s="226">
        <f>'3-Statement (Downside)'!O12</f>
        <v>3.0000000000000001E-3</v>
      </c>
      <c r="AD16" s="226">
        <f>'3-Statement (Downside)'!P12</f>
        <v>0</v>
      </c>
      <c r="AE16" s="226">
        <f>'3-Statement (Downside)'!Q12</f>
        <v>0</v>
      </c>
      <c r="AF16" s="226">
        <f>'3-Statement (Downside)'!R12</f>
        <v>0</v>
      </c>
    </row>
    <row r="17" spans="4:32" x14ac:dyDescent="0.25">
      <c r="D17" s="212" t="str">
        <f>'Valuation (Base)'!D70</f>
        <v>Debt Service Coverage Ratio</v>
      </c>
      <c r="E17" s="213">
        <f>'Valuation (Base)'!F70</f>
        <v>22.810200410540457</v>
      </c>
      <c r="F17" s="213">
        <f>'Valuation (Base)'!G70</f>
        <v>23.15866143740266</v>
      </c>
      <c r="G17" s="213">
        <f>'Valuation (Base)'!H70</f>
        <v>24.38372325727455</v>
      </c>
      <c r="H17" s="213">
        <f>'Valuation (Base)'!I70</f>
        <v>27.06699847405141</v>
      </c>
      <c r="I17" s="213">
        <f>'Valuation (Base)'!J70</f>
        <v>27.868053659581712</v>
      </c>
      <c r="J17" s="213">
        <f>'Valuation (Base)'!K70</f>
        <v>29.230517235636352</v>
      </c>
      <c r="K17" s="213">
        <f>'Valuation (Base)'!L70</f>
        <v>30.971858277882578</v>
      </c>
      <c r="L17" s="213">
        <f>'Valuation (Base)'!M70</f>
        <v>32.824424078969116</v>
      </c>
      <c r="N17" s="212" t="str">
        <f t="shared" si="11"/>
        <v>Debt Service Coverage Ratio</v>
      </c>
      <c r="O17" s="224">
        <f>'Valuation (Downside)'!F70</f>
        <v>22.810200410540457</v>
      </c>
      <c r="P17" s="224">
        <f>'Valuation (Downside)'!G70</f>
        <v>17.776955997255687</v>
      </c>
      <c r="Q17" s="224">
        <f>'Valuation (Downside)'!H70</f>
        <v>18.234041175585599</v>
      </c>
      <c r="R17" s="224">
        <f>'Valuation (Downside)'!I70</f>
        <v>20.210357605956041</v>
      </c>
      <c r="S17" s="224">
        <f>'Valuation (Downside)'!J70</f>
        <v>21.290638269196549</v>
      </c>
      <c r="T17" s="224">
        <f>'Valuation (Downside)'!K70</f>
        <v>23.282176448024856</v>
      </c>
      <c r="U17" s="224">
        <f>'Valuation (Downside)'!L70</f>
        <v>24.585977121049996</v>
      </c>
      <c r="V17" s="224">
        <f>'Valuation (Downside)'!M70</f>
        <v>26.094722008469613</v>
      </c>
      <c r="X17" s="218" t="s">
        <v>375</v>
      </c>
      <c r="Y17" s="225"/>
      <c r="Z17" s="226">
        <f>'3-Statement (Downside)'!L14</f>
        <v>1.4999999999999999E-2</v>
      </c>
      <c r="AA17" s="226">
        <f>'3-Statement (Downside)'!M14</f>
        <v>1.2E-2</v>
      </c>
      <c r="AB17" s="226">
        <f>'3-Statement (Downside)'!N14</f>
        <v>8.0000000000000002E-3</v>
      </c>
      <c r="AC17" s="226">
        <f>'3-Statement (Downside)'!O14</f>
        <v>5.0000000000000001E-3</v>
      </c>
      <c r="AD17" s="226">
        <f>'3-Statement (Downside)'!P14</f>
        <v>0</v>
      </c>
      <c r="AE17" s="226">
        <f>'3-Statement (Downside)'!Q14</f>
        <v>0</v>
      </c>
      <c r="AF17" s="226">
        <f>'3-Statement (Downside)'!R14</f>
        <v>0</v>
      </c>
    </row>
    <row r="18" spans="4:32" x14ac:dyDescent="0.25">
      <c r="D18" s="212" t="str">
        <f>'Valuation (Base)'!D76</f>
        <v>Fixed Charge Coverage Ratio</v>
      </c>
      <c r="E18" s="213">
        <f>'Valuation (Base)'!F76</f>
        <v>11.895128038443405</v>
      </c>
      <c r="F18" s="213">
        <f>'Valuation (Base)'!G76</f>
        <v>13.513414591867296</v>
      </c>
      <c r="G18" s="213">
        <f>'Valuation (Base)'!H76</f>
        <v>13.787290587070347</v>
      </c>
      <c r="H18" s="213">
        <f>'Valuation (Base)'!I76</f>
        <v>14.394623246348385</v>
      </c>
      <c r="I18" s="213">
        <f>'Valuation (Base)'!J76</f>
        <v>14.264650400601381</v>
      </c>
      <c r="J18" s="213">
        <f>'Valuation (Base)'!K76</f>
        <v>14.365361430497618</v>
      </c>
      <c r="K18" s="213">
        <f>'Valuation (Base)'!L76</f>
        <v>15.039268017858518</v>
      </c>
      <c r="L18" s="213">
        <f>'Valuation (Base)'!M76</f>
        <v>15.324397937656927</v>
      </c>
      <c r="N18" s="212" t="str">
        <f t="shared" si="11"/>
        <v>Fixed Charge Coverage Ratio</v>
      </c>
      <c r="O18" s="224">
        <f>'Valuation (Downside)'!F76</f>
        <v>11.895128038443405</v>
      </c>
      <c r="P18" s="224">
        <f>'Valuation (Downside)'!G76</f>
        <v>10.833384105262548</v>
      </c>
      <c r="Q18" s="224">
        <f>'Valuation (Downside)'!H76</f>
        <v>11.171562827276983</v>
      </c>
      <c r="R18" s="224">
        <f>'Valuation (Downside)'!I76</f>
        <v>12.05178188511548</v>
      </c>
      <c r="S18" s="224">
        <f>'Valuation (Downside)'!J76</f>
        <v>12.335027764968512</v>
      </c>
      <c r="T18" s="224">
        <f>'Valuation (Downside)'!K76</f>
        <v>13.091308152554317</v>
      </c>
      <c r="U18" s="224">
        <f>'Valuation (Downside)'!L76</f>
        <v>13.689608889664978</v>
      </c>
      <c r="V18" s="224">
        <f>'Valuation (Downside)'!M76</f>
        <v>14.003530196909056</v>
      </c>
      <c r="X18" s="218" t="s">
        <v>376</v>
      </c>
      <c r="Y18" s="225"/>
      <c r="Z18" s="226">
        <f>'3-Statement (Downside)'!L23</f>
        <v>2.4E-2</v>
      </c>
      <c r="AA18" s="226">
        <f>'3-Statement (Downside)'!M23</f>
        <v>1.8000000000000002E-2</v>
      </c>
      <c r="AB18" s="226">
        <f>'3-Statement (Downside)'!N23</f>
        <v>6.0000000000000001E-3</v>
      </c>
      <c r="AC18" s="226">
        <f>'3-Statement (Downside)'!O23</f>
        <v>3.0000000000000001E-3</v>
      </c>
      <c r="AD18" s="226">
        <f>'3-Statement (Downside)'!P23</f>
        <v>0</v>
      </c>
      <c r="AE18" s="226">
        <f>'3-Statement (Downside)'!Q23</f>
        <v>0</v>
      </c>
      <c r="AF18" s="226">
        <f>'3-Statement (Downside)'!R23</f>
        <v>0</v>
      </c>
    </row>
    <row r="19" spans="4:32" x14ac:dyDescent="0.25">
      <c r="D19" s="212" t="str">
        <f>'Valuation (Base)'!D80</f>
        <v>Current Ratio</v>
      </c>
      <c r="E19" s="213">
        <f>'Valuation (Base)'!F80</f>
        <v>2.1056233834800056</v>
      </c>
      <c r="F19" s="213">
        <f>'Valuation (Base)'!G80</f>
        <v>2.0872094174480287</v>
      </c>
      <c r="G19" s="213">
        <f>'Valuation (Base)'!H80</f>
        <v>2.1184820630566779</v>
      </c>
      <c r="H19" s="213">
        <f>'Valuation (Base)'!I80</f>
        <v>2.1661126485332129</v>
      </c>
      <c r="I19" s="213">
        <f>'Valuation (Base)'!J80</f>
        <v>2.1833194226054244</v>
      </c>
      <c r="J19" s="213">
        <f>'Valuation (Base)'!K80</f>
        <v>2.2155929880868048</v>
      </c>
      <c r="K19" s="213">
        <f>'Valuation (Base)'!L80</f>
        <v>2.239997843831731</v>
      </c>
      <c r="L19" s="213">
        <f>'Valuation (Base)'!M80</f>
        <v>2.2678933497832543</v>
      </c>
      <c r="N19" s="212" t="str">
        <f t="shared" si="11"/>
        <v>Current Ratio</v>
      </c>
      <c r="O19" s="224">
        <f>'Valuation (Downside)'!F80</f>
        <v>2.1056233834800056</v>
      </c>
      <c r="P19" s="224">
        <f>'Valuation (Downside)'!G80</f>
        <v>2.1584916917668839</v>
      </c>
      <c r="Q19" s="224">
        <f>'Valuation (Downside)'!H80</f>
        <v>2.1720491441271288</v>
      </c>
      <c r="R19" s="224">
        <f>'Valuation (Downside)'!I80</f>
        <v>2.1840385909040987</v>
      </c>
      <c r="S19" s="224">
        <f>'Valuation (Downside)'!J80</f>
        <v>2.1923234891799002</v>
      </c>
      <c r="T19" s="224">
        <f>'Valuation (Downside)'!K80</f>
        <v>2.2155929880868044</v>
      </c>
      <c r="U19" s="224">
        <f>'Valuation (Downside)'!L80</f>
        <v>2.2399978438317305</v>
      </c>
      <c r="V19" s="224">
        <f>'Valuation (Downside)'!M80</f>
        <v>2.2678933497832534</v>
      </c>
      <c r="X19" s="218" t="s">
        <v>377</v>
      </c>
      <c r="Y19" s="225"/>
      <c r="Z19" s="226">
        <f>'3-Statement (Downside)'!L25</f>
        <v>-3.0000000000000001E-3</v>
      </c>
      <c r="AA19" s="226">
        <f>'3-Statement (Downside)'!M25</f>
        <v>-2E-3</v>
      </c>
      <c r="AB19" s="226">
        <f>'3-Statement (Downside)'!N25</f>
        <v>-1E-3</v>
      </c>
      <c r="AC19" s="226">
        <f>'3-Statement (Downside)'!O25</f>
        <v>-1E-3</v>
      </c>
      <c r="AD19" s="226">
        <f>'3-Statement (Downside)'!P25</f>
        <v>0</v>
      </c>
      <c r="AE19" s="226">
        <f>'3-Statement (Downside)'!Q25</f>
        <v>0</v>
      </c>
      <c r="AF19" s="226">
        <f>'3-Statement (Downside)'!R25</f>
        <v>0</v>
      </c>
    </row>
    <row r="20" spans="4:32" x14ac:dyDescent="0.25">
      <c r="D20" s="212" t="str">
        <f>'Valuation (Base)'!D86</f>
        <v>Quick Ratio</v>
      </c>
      <c r="E20" s="213">
        <f>'Valuation (Base)'!F86</f>
        <v>0.77170049252791517</v>
      </c>
      <c r="F20" s="213">
        <f>'Valuation (Base)'!G86</f>
        <v>0.76566409822954373</v>
      </c>
      <c r="G20" s="213">
        <f>'Valuation (Base)'!H86</f>
        <v>0.77591577455604632</v>
      </c>
      <c r="H20" s="213">
        <f>'Valuation (Base)'!I86</f>
        <v>0.79152984672818782</v>
      </c>
      <c r="I20" s="213">
        <f>'Valuation (Base)'!J86</f>
        <v>0.79717050408155177</v>
      </c>
      <c r="J20" s="213">
        <f>'Valuation (Base)'!K86</f>
        <v>0.80775029804454779</v>
      </c>
      <c r="K20" s="213">
        <f>'Valuation (Base)'!L86</f>
        <v>0.8157506023687453</v>
      </c>
      <c r="L20" s="213">
        <f>'Valuation (Base)'!M86</f>
        <v>0.82489519798619926</v>
      </c>
      <c r="N20" s="212" t="str">
        <f t="shared" si="11"/>
        <v>Quick Ratio</v>
      </c>
      <c r="O20" s="224">
        <f>'Valuation (Downside)'!F86</f>
        <v>0.77170049252791517</v>
      </c>
      <c r="P20" s="224">
        <f>'Valuation (Downside)'!G86</f>
        <v>0.78903157449870087</v>
      </c>
      <c r="Q20" s="224">
        <f>'Valuation (Downside)'!H86</f>
        <v>0.79347592548673407</v>
      </c>
      <c r="R20" s="224">
        <f>'Valuation (Downside)'!I86</f>
        <v>0.79740625901941509</v>
      </c>
      <c r="S20" s="224">
        <f>'Valuation (Downside)'!J86</f>
        <v>0.80012218195680895</v>
      </c>
      <c r="T20" s="224">
        <f>'Valuation (Downside)'!K86</f>
        <v>0.80775029804454768</v>
      </c>
      <c r="U20" s="224">
        <f>'Valuation (Downside)'!L86</f>
        <v>0.81575060236874508</v>
      </c>
      <c r="V20" s="224">
        <f>'Valuation (Downside)'!M86</f>
        <v>0.82489519798619904</v>
      </c>
      <c r="X20" s="218" t="s">
        <v>378</v>
      </c>
      <c r="Y20" s="225"/>
      <c r="Z20" s="226">
        <f>'3-Statement (Downside)'!L28</f>
        <v>-4.0000000000000001E-3</v>
      </c>
      <c r="AA20" s="226">
        <f>'3-Statement (Downside)'!M28</f>
        <v>-4.0000000000000001E-3</v>
      </c>
      <c r="AB20" s="226">
        <f>'3-Statement (Downside)'!N28</f>
        <v>-3.0000000000000001E-3</v>
      </c>
      <c r="AC20" s="226">
        <f>'3-Statement (Downside)'!O28</f>
        <v>-2E-3</v>
      </c>
      <c r="AD20" s="226">
        <f>'3-Statement (Downside)'!P28</f>
        <v>0</v>
      </c>
      <c r="AE20" s="226">
        <f>'3-Statement (Downside)'!Q28</f>
        <v>0</v>
      </c>
      <c r="AF20" s="226">
        <f>'3-Statement (Downside)'!R28</f>
        <v>0</v>
      </c>
    </row>
    <row r="21" spans="4:32" x14ac:dyDescent="0.25">
      <c r="X21" s="216"/>
      <c r="Y21" s="216"/>
      <c r="Z21" s="221"/>
      <c r="AA21" s="221"/>
      <c r="AB21" s="221"/>
      <c r="AC21" s="221"/>
      <c r="AD21" s="221"/>
      <c r="AE21" s="221"/>
      <c r="AF21" s="22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C152-6036-4DAC-8DEC-AB038EB2A265}">
  <sheetPr>
    <tabColor theme="6" tint="0.79998168889431442"/>
  </sheetPr>
  <dimension ref="D3:W87"/>
  <sheetViews>
    <sheetView showGridLines="0" workbookViewId="0">
      <selection activeCell="D3" sqref="D3:M3"/>
    </sheetView>
  </sheetViews>
  <sheetFormatPr defaultColWidth="13.7109375" defaultRowHeight="15" outlineLevelRow="1" x14ac:dyDescent="0.25"/>
  <cols>
    <col min="4" max="4" width="35.28515625" bestFit="1" customWidth="1"/>
    <col min="5" max="13" width="13.7109375" style="63"/>
    <col min="14" max="15" width="13.7109375" customWidth="1"/>
    <col min="16" max="21" width="13.7109375" style="12" customWidth="1"/>
    <col min="22" max="24" width="13.7109375" customWidth="1"/>
  </cols>
  <sheetData>
    <row r="3" spans="4:21" x14ac:dyDescent="0.25">
      <c r="D3" s="229" t="s">
        <v>362</v>
      </c>
      <c r="E3" s="229"/>
      <c r="F3" s="229"/>
      <c r="G3" s="229"/>
      <c r="H3" s="229"/>
      <c r="I3" s="229"/>
      <c r="J3" s="229"/>
      <c r="K3" s="229"/>
      <c r="L3" s="229"/>
      <c r="M3" s="229"/>
    </row>
    <row r="4" spans="4:21" ht="15.75" x14ac:dyDescent="0.25">
      <c r="D4" s="163"/>
      <c r="E4" s="30" t="str">
        <f>'3-Statement (Base)'!J2</f>
        <v>Q4-24</v>
      </c>
      <c r="F4" s="30">
        <f>'3-Statement (Base)'!K2</f>
        <v>45657</v>
      </c>
      <c r="G4" s="30">
        <f>'3-Statement (Base)'!L2</f>
        <v>46022</v>
      </c>
      <c r="H4" s="30">
        <f>'3-Statement (Base)'!M2</f>
        <v>46387</v>
      </c>
      <c r="I4" s="30">
        <f>'3-Statement (Base)'!N2</f>
        <v>46752</v>
      </c>
      <c r="J4" s="30">
        <f>'3-Statement (Base)'!O2</f>
        <v>47118</v>
      </c>
      <c r="K4" s="30">
        <f>'3-Statement (Base)'!P2</f>
        <v>47483</v>
      </c>
      <c r="L4" s="30">
        <f>'3-Statement (Base)'!Q2</f>
        <v>47848</v>
      </c>
      <c r="M4" s="30">
        <f>'3-Statement (Base)'!R2</f>
        <v>48213</v>
      </c>
    </row>
    <row r="5" spans="4:21" hidden="1" outlineLevel="1" x14ac:dyDescent="0.25">
      <c r="D5" t="s">
        <v>0</v>
      </c>
      <c r="E5" s="63">
        <f>'3-Statement (Base)'!J43</f>
        <v>952178.74599999981</v>
      </c>
      <c r="F5" s="63">
        <f>'3-Statement (Base)'!K43</f>
        <v>3820845.7459999998</v>
      </c>
      <c r="G5" s="63">
        <f>'3-Statement (Base)'!L43</f>
        <v>3800977.3481207998</v>
      </c>
      <c r="H5" s="63">
        <f>'3-Statement (Base)'!M43</f>
        <v>3978863.0880128532</v>
      </c>
      <c r="I5" s="63">
        <f>'3-Statement (Base)'!N43</f>
        <v>4240672.2792040994</v>
      </c>
      <c r="J5" s="63">
        <f>'3-Statement (Base)'!O43</f>
        <v>4373829.3887711084</v>
      </c>
      <c r="K5" s="63">
        <f>'3-Statement (Base)'!P43</f>
        <v>4592520.858209664</v>
      </c>
      <c r="L5" s="63">
        <f>'3-Statement (Base)'!Q43</f>
        <v>4765934.445815661</v>
      </c>
      <c r="M5" s="63">
        <f>'3-Statement (Base)'!R43</f>
        <v>4986845.0392481079</v>
      </c>
    </row>
    <row r="6" spans="4:21" hidden="1" outlineLevel="1" x14ac:dyDescent="0.25">
      <c r="D6" t="s">
        <v>243</v>
      </c>
      <c r="E6" s="63">
        <f>'3-Statement (Base)'!J46</f>
        <v>-559738.78025917511</v>
      </c>
      <c r="F6" s="63">
        <f>'3-Statement (Base)'!K46</f>
        <v>-2246230.7802591752</v>
      </c>
      <c r="G6" s="63">
        <f>'3-Statement (Base)'!L46</f>
        <v>-2222863.2034237706</v>
      </c>
      <c r="H6" s="63">
        <f>'3-Statement (Base)'!M46</f>
        <v>-2331350.4954907461</v>
      </c>
      <c r="I6" s="63">
        <f>'3-Statement (Base)'!N46</f>
        <v>-2482296.6488075126</v>
      </c>
      <c r="J6" s="63">
        <f>'3-Statement (Base)'!O46</f>
        <v>-2566738.0129408371</v>
      </c>
      <c r="K6" s="63">
        <f>'3-Statement (Base)'!P46</f>
        <v>-2691979.8536775676</v>
      </c>
      <c r="L6" s="63">
        <f>'3-Statement (Base)'!Q46</f>
        <v>-2791987.328313373</v>
      </c>
      <c r="M6" s="63">
        <f>'3-Statement (Base)'!R46</f>
        <v>-2922406.8812334873</v>
      </c>
    </row>
    <row r="7" spans="4:21" hidden="1" outlineLevel="1" x14ac:dyDescent="0.25">
      <c r="D7" t="s">
        <v>229</v>
      </c>
      <c r="E7" s="63">
        <f>'3-Statement (Base)'!J47</f>
        <v>-289178.76111293869</v>
      </c>
      <c r="F7" s="63">
        <f>'3-Statement (Base)'!K47</f>
        <v>-1160037.7611129386</v>
      </c>
      <c r="G7" s="63">
        <f>'3-Statement (Base)'!L47</f>
        <v>-1137677.7884201524</v>
      </c>
      <c r="H7" s="63">
        <f>'3-Statement (Base)'!M47</f>
        <v>-1185928.2201902838</v>
      </c>
      <c r="I7" s="63">
        <f>'3-Statement (Base)'!N47</f>
        <v>-1256691.7525111502</v>
      </c>
      <c r="J7" s="63">
        <f>'3-Statement (Base)'!O47</f>
        <v>-1298569.4170542345</v>
      </c>
      <c r="K7" s="63">
        <f>'3-Statement (Base)'!P47</f>
        <v>-1372442.1945219883</v>
      </c>
      <c r="L7" s="63">
        <f>'3-Statement (Base)'!Q47</f>
        <v>-1419723.9618000961</v>
      </c>
      <c r="M7" s="63">
        <f>'3-Statement (Base)'!R47</f>
        <v>-1484112.7859355782</v>
      </c>
    </row>
    <row r="8" spans="4:21" hidden="1" outlineLevel="1" x14ac:dyDescent="0.25">
      <c r="D8" t="s">
        <v>244</v>
      </c>
      <c r="E8" s="63">
        <f>'3-Statement (Base)'!J49</f>
        <v>-6677.9508127977051</v>
      </c>
      <c r="F8" s="63">
        <f>'3-Statement (Base)'!K49</f>
        <v>-18464.950812797706</v>
      </c>
      <c r="G8" s="63">
        <f>'3-Statement (Base)'!L49</f>
        <v>-33927.258494367292</v>
      </c>
      <c r="H8" s="63">
        <f>'3-Statement (Base)'!M49</f>
        <v>-35289.42922704087</v>
      </c>
      <c r="I8" s="63">
        <f>'3-Statement (Base)'!N49</f>
        <v>-31192.043859924357</v>
      </c>
      <c r="J8" s="63">
        <f>'3-Statement (Base)'!O49</f>
        <v>-32125.930493792046</v>
      </c>
      <c r="K8" s="63">
        <f>'3-Statement (Base)'!P49</f>
        <v>-37397.864732286049</v>
      </c>
      <c r="L8" s="63">
        <f>'3-Statement (Base)'!Q49</f>
        <v>-38736.417239412382</v>
      </c>
      <c r="M8" s="63">
        <f>'3-Statement (Base)'!R49</f>
        <v>-39735.867035611962</v>
      </c>
    </row>
    <row r="9" spans="4:21" ht="15.75" hidden="1" outlineLevel="1" thickBot="1" x14ac:dyDescent="0.3">
      <c r="D9" s="6" t="s">
        <v>230</v>
      </c>
      <c r="E9" s="72">
        <f t="shared" ref="E9:M9" si="0">SUM(E5:E8)</f>
        <v>96583.253815088305</v>
      </c>
      <c r="F9" s="72">
        <f t="shared" si="0"/>
        <v>396112.25381508825</v>
      </c>
      <c r="G9" s="72">
        <f t="shared" si="0"/>
        <v>406509.09778250946</v>
      </c>
      <c r="H9" s="72">
        <f t="shared" si="0"/>
        <v>426294.94310478237</v>
      </c>
      <c r="I9" s="72">
        <f t="shared" si="0"/>
        <v>470491.83402551227</v>
      </c>
      <c r="J9" s="72">
        <f t="shared" si="0"/>
        <v>476396.02828224469</v>
      </c>
      <c r="K9" s="72">
        <f t="shared" si="0"/>
        <v>490700.94527782209</v>
      </c>
      <c r="L9" s="72">
        <f t="shared" si="0"/>
        <v>515486.7384627795</v>
      </c>
      <c r="M9" s="72">
        <f t="shared" si="0"/>
        <v>540589.50504343049</v>
      </c>
    </row>
    <row r="10" spans="4:21" ht="15.75" hidden="1" outlineLevel="1" thickTop="1" x14ac:dyDescent="0.25">
      <c r="D10" t="s">
        <v>247</v>
      </c>
      <c r="E10" s="63">
        <f>'3-Statement (Base)'!J55</f>
        <v>-4723.6237999999994</v>
      </c>
      <c r="F10" s="63">
        <f>'3-Statement (Base)'!K55</f>
        <v>-18790.623800000001</v>
      </c>
      <c r="G10" s="63">
        <f>'3-Statement (Base)'!L55</f>
        <v>-18749.48186037406</v>
      </c>
      <c r="H10" s="63">
        <f>'3-Statement (Base)'!M55</f>
        <v>-18641.766082588834</v>
      </c>
      <c r="I10" s="63">
        <f>'3-Statement (Base)'!N55</f>
        <v>-18398.997731600746</v>
      </c>
      <c r="J10" s="63">
        <f>'3-Statement (Base)'!O55</f>
        <v>-18166.799806085699</v>
      </c>
      <c r="K10" s="63">
        <f>'3-Statement (Base)'!P55</f>
        <v>-17928.662588812756</v>
      </c>
      <c r="L10" s="63">
        <f>'3-Statement (Base)'!Q55</f>
        <v>-17706.955716616834</v>
      </c>
      <c r="M10" s="63">
        <f>'3-Statement (Base)'!R55</f>
        <v>-17507.516229778274</v>
      </c>
    </row>
    <row r="11" spans="4:21" hidden="1" outlineLevel="1" x14ac:dyDescent="0.25">
      <c r="D11" t="s">
        <v>245</v>
      </c>
      <c r="E11" s="63">
        <f>'3-Statement (Base)'!J54</f>
        <v>-6260.0936533050226</v>
      </c>
      <c r="F11" s="63">
        <f>'3-Statement (Base)'!K54</f>
        <v>-25113.093653305023</v>
      </c>
      <c r="G11" s="63">
        <f>'3-Statement (Base)'!L54</f>
        <v>-19944.303346773031</v>
      </c>
      <c r="H11" s="63">
        <f>'3-Statement (Base)'!M54</f>
        <v>-20980.147304739094</v>
      </c>
      <c r="I11" s="63">
        <f>'3-Statement (Base)'!N54</f>
        <v>-23055.523443826834</v>
      </c>
      <c r="J11" s="63">
        <f>'3-Statement (Base)'!O54</f>
        <v>-24400.952839236474</v>
      </c>
      <c r="K11" s="63">
        <f>'3-Statement (Base)'!P54</f>
        <v>-25817.608497896952</v>
      </c>
      <c r="L11" s="63">
        <f>'3-Statement (Base)'!Q54</f>
        <v>-25886.01090774516</v>
      </c>
      <c r="M11" s="63">
        <f>'3-Statement (Base)'!R54</f>
        <v>-27269.709026558863</v>
      </c>
    </row>
    <row r="12" spans="4:21" hidden="1" outlineLevel="1" x14ac:dyDescent="0.25">
      <c r="D12" t="s">
        <v>246</v>
      </c>
      <c r="E12" s="63">
        <f>'3-Statement (Base)'!J58</f>
        <v>-20686.392786415134</v>
      </c>
      <c r="F12" s="63">
        <f>'3-Statement (Base)'!K58</f>
        <v>-85290.392786415134</v>
      </c>
      <c r="G12" s="63">
        <f>'3-Statement (Base)'!L58</f>
        <v>-90212.333517581777</v>
      </c>
      <c r="H12" s="63">
        <f>'3-Statement (Base)'!M58</f>
        <v>-94719.000120515644</v>
      </c>
      <c r="I12" s="63">
        <f>'3-Statement (Base)'!N58</f>
        <v>-105155.72178093615</v>
      </c>
      <c r="J12" s="63">
        <f>'3-Statement (Base)'!O58</f>
        <v>-106314.78982450854</v>
      </c>
      <c r="K12" s="63">
        <f>'3-Statement (Base)'!P58</f>
        <v>-109284.15663970221</v>
      </c>
      <c r="L12" s="63">
        <f>'3-Statement (Base)'!Q58</f>
        <v>-115603.72465362174</v>
      </c>
      <c r="M12" s="63">
        <f>'3-Statement (Base)'!R58</f>
        <v>-121434.77786134246</v>
      </c>
    </row>
    <row r="13" spans="4:21" ht="15.75" hidden="1" outlineLevel="1" thickBot="1" x14ac:dyDescent="0.3">
      <c r="D13" s="6" t="s">
        <v>221</v>
      </c>
      <c r="E13" s="72">
        <f t="shared" ref="E13:M13" si="1">SUM(E9:E12)</f>
        <v>64913.143575368144</v>
      </c>
      <c r="F13" s="72">
        <f t="shared" si="1"/>
        <v>266918.1435753681</v>
      </c>
      <c r="G13" s="72">
        <f t="shared" si="1"/>
        <v>277602.97905778058</v>
      </c>
      <c r="H13" s="72">
        <f t="shared" si="1"/>
        <v>291954.02959693881</v>
      </c>
      <c r="I13" s="72">
        <f t="shared" si="1"/>
        <v>323881.5910691485</v>
      </c>
      <c r="J13" s="72">
        <f t="shared" si="1"/>
        <v>327513.48581241397</v>
      </c>
      <c r="K13" s="72">
        <f t="shared" si="1"/>
        <v>337670.51755141019</v>
      </c>
      <c r="L13" s="72">
        <f t="shared" si="1"/>
        <v>356290.04718479578</v>
      </c>
      <c r="M13" s="72">
        <f t="shared" si="1"/>
        <v>374377.50192575087</v>
      </c>
    </row>
    <row r="14" spans="4:21" ht="15.75" collapsed="1" thickBot="1" x14ac:dyDescent="0.3">
      <c r="E14"/>
      <c r="F14"/>
      <c r="G14"/>
      <c r="H14"/>
      <c r="I14"/>
      <c r="J14"/>
      <c r="K14"/>
      <c r="L14"/>
      <c r="M14"/>
      <c r="P14"/>
      <c r="Q14"/>
      <c r="R14"/>
      <c r="S14"/>
      <c r="T14"/>
      <c r="U14"/>
    </row>
    <row r="15" spans="4:21" x14ac:dyDescent="0.25">
      <c r="D15" s="170" t="s">
        <v>341</v>
      </c>
      <c r="E15" s="189">
        <f>'3-Statement (Base)'!J98</f>
        <v>51395.36344074447</v>
      </c>
      <c r="F15" s="189">
        <f>'3-Statement (Base)'!K98</f>
        <v>354828.36344074446</v>
      </c>
      <c r="G15" s="189">
        <f>'3-Statement (Base)'!L98</f>
        <v>402710.601803814</v>
      </c>
      <c r="H15" s="189">
        <f>'3-Statement (Base)'!M98</f>
        <v>356238.34571390203</v>
      </c>
      <c r="I15" s="189">
        <f>'3-Statement (Base)'!N98</f>
        <v>370630.43053099554</v>
      </c>
      <c r="J15" s="189">
        <f>'3-Statement (Base)'!O98</f>
        <v>415587.95230554498</v>
      </c>
      <c r="K15" s="189">
        <f>'3-Statement (Base)'!P98</f>
        <v>405666.35842664761</v>
      </c>
      <c r="L15" s="189">
        <f>'3-Statement (Base)'!Q98</f>
        <v>441303.15721792541</v>
      </c>
      <c r="M15" s="190">
        <f>'3-Statement (Base)'!R98</f>
        <v>455889.97401430708</v>
      </c>
      <c r="N15" s="77"/>
      <c r="P15"/>
      <c r="Q15"/>
      <c r="R15"/>
      <c r="S15"/>
      <c r="T15"/>
      <c r="U15"/>
    </row>
    <row r="16" spans="4:21" x14ac:dyDescent="0.25">
      <c r="D16" s="171" t="s">
        <v>231</v>
      </c>
      <c r="E16" s="105">
        <f>'3-Statement (Base)'!J101</f>
        <v>-24318.378502113228</v>
      </c>
      <c r="F16" s="105">
        <f>'3-Statement (Base)'!K101</f>
        <v>-97672.378502113221</v>
      </c>
      <c r="G16" s="105">
        <f>'3-Statement (Base)'!L101</f>
        <v>-73395.273675227421</v>
      </c>
      <c r="H16" s="105">
        <f>'3-Statement (Base)'!M101</f>
        <v>-80482.711557226823</v>
      </c>
      <c r="I16" s="105">
        <f>'3-Statement (Base)'!N101</f>
        <v>-88879.069753360265</v>
      </c>
      <c r="J16" s="105">
        <f>'3-Statement (Base)'!O101</f>
        <v>-95461.98296922227</v>
      </c>
      <c r="K16" s="105">
        <f>'3-Statement (Base)'!P101</f>
        <v>-99092.467493147793</v>
      </c>
      <c r="L16" s="105">
        <f>'3-Statement (Base)'!Q101</f>
        <v>-99034.697809167439</v>
      </c>
      <c r="M16" s="103">
        <f>'3-Statement (Base)'!R101</f>
        <v>-105091.40895752906</v>
      </c>
      <c r="P16"/>
      <c r="Q16"/>
      <c r="R16"/>
      <c r="S16"/>
      <c r="T16"/>
      <c r="U16"/>
    </row>
    <row r="17" spans="4:21" ht="15.75" thickBot="1" x14ac:dyDescent="0.3">
      <c r="D17" s="172" t="s">
        <v>223</v>
      </c>
      <c r="E17" s="72">
        <f t="shared" ref="E17:M17" si="2">SUM(E15:E16)</f>
        <v>27076.984938631242</v>
      </c>
      <c r="F17" s="72">
        <f t="shared" si="2"/>
        <v>257155.98493863124</v>
      </c>
      <c r="G17" s="72">
        <f t="shared" si="2"/>
        <v>329315.32812858658</v>
      </c>
      <c r="H17" s="72">
        <f t="shared" si="2"/>
        <v>275755.63415667519</v>
      </c>
      <c r="I17" s="72">
        <f t="shared" si="2"/>
        <v>281751.36077763524</v>
      </c>
      <c r="J17" s="72">
        <f t="shared" si="2"/>
        <v>320125.96933632274</v>
      </c>
      <c r="K17" s="72">
        <f t="shared" si="2"/>
        <v>306573.89093349979</v>
      </c>
      <c r="L17" s="72">
        <f t="shared" si="2"/>
        <v>342268.45940875798</v>
      </c>
      <c r="M17" s="173">
        <f t="shared" si="2"/>
        <v>350798.56505677802</v>
      </c>
      <c r="N17" s="77"/>
      <c r="P17"/>
      <c r="Q17"/>
      <c r="R17"/>
      <c r="S17"/>
      <c r="T17"/>
      <c r="U17"/>
    </row>
    <row r="18" spans="4:21" ht="15.75" thickTop="1" x14ac:dyDescent="0.25">
      <c r="D18" s="171"/>
      <c r="E18" s="67"/>
      <c r="F18"/>
      <c r="G18" s="105"/>
      <c r="H18" s="105"/>
      <c r="I18" s="105"/>
      <c r="J18" s="105"/>
      <c r="K18" s="105"/>
      <c r="L18" s="105"/>
      <c r="M18" s="191"/>
      <c r="P18"/>
      <c r="Q18"/>
      <c r="R18"/>
      <c r="S18"/>
      <c r="T18"/>
      <c r="U18"/>
    </row>
    <row r="19" spans="4:21" x14ac:dyDescent="0.25">
      <c r="D19" s="171" t="s">
        <v>223</v>
      </c>
      <c r="E19" s="105"/>
      <c r="F19" s="105"/>
      <c r="G19" s="105">
        <f t="shared" ref="G19:M19" si="3">G17</f>
        <v>329315.32812858658</v>
      </c>
      <c r="H19" s="105">
        <f t="shared" si="3"/>
        <v>275755.63415667519</v>
      </c>
      <c r="I19" s="105">
        <f t="shared" si="3"/>
        <v>281751.36077763524</v>
      </c>
      <c r="J19" s="105">
        <f t="shared" si="3"/>
        <v>320125.96933632274</v>
      </c>
      <c r="K19" s="105">
        <f t="shared" si="3"/>
        <v>306573.89093349979</v>
      </c>
      <c r="L19" s="105">
        <f t="shared" si="3"/>
        <v>342268.45940875798</v>
      </c>
      <c r="M19" s="103">
        <f t="shared" si="3"/>
        <v>350798.56505677802</v>
      </c>
      <c r="N19" s="73"/>
      <c r="P19"/>
      <c r="Q19"/>
      <c r="R19"/>
      <c r="S19"/>
      <c r="T19"/>
      <c r="U19"/>
    </row>
    <row r="20" spans="4:21" x14ac:dyDescent="0.25">
      <c r="D20" s="171" t="s">
        <v>324</v>
      </c>
      <c r="E20" s="174"/>
      <c r="F20" s="174"/>
      <c r="G20" s="174"/>
      <c r="H20" s="174"/>
      <c r="I20" s="174"/>
      <c r="J20" s="174"/>
      <c r="K20" s="174"/>
      <c r="L20" s="174"/>
      <c r="M20" s="175">
        <v>0.03</v>
      </c>
      <c r="P20"/>
      <c r="Q20"/>
      <c r="R20"/>
      <c r="S20"/>
      <c r="T20"/>
      <c r="U20"/>
    </row>
    <row r="21" spans="4:21" x14ac:dyDescent="0.25">
      <c r="D21" s="171" t="s">
        <v>349</v>
      </c>
      <c r="E21" s="174"/>
      <c r="F21" s="174"/>
      <c r="G21" s="174"/>
      <c r="H21" s="174"/>
      <c r="I21" s="174"/>
      <c r="J21" s="174"/>
      <c r="K21" s="174"/>
      <c r="L21" s="174"/>
      <c r="M21" s="175">
        <v>9.2999999999999999E-2</v>
      </c>
      <c r="P21"/>
      <c r="Q21"/>
      <c r="R21"/>
      <c r="S21"/>
      <c r="T21"/>
      <c r="U21"/>
    </row>
    <row r="22" spans="4:21" x14ac:dyDescent="0.25">
      <c r="D22" s="176" t="s">
        <v>323</v>
      </c>
      <c r="E22" s="75"/>
      <c r="F22" s="75"/>
      <c r="G22" s="75"/>
      <c r="H22" s="75"/>
      <c r="I22" s="75"/>
      <c r="J22" s="75"/>
      <c r="K22" s="75"/>
      <c r="L22" s="75"/>
      <c r="M22" s="177">
        <f>(M19*(1+M20))/(M21-M20)</f>
        <v>5735278.1271187523</v>
      </c>
      <c r="P22"/>
      <c r="Q22"/>
      <c r="R22"/>
      <c r="S22"/>
      <c r="T22"/>
      <c r="U22"/>
    </row>
    <row r="23" spans="4:21" x14ac:dyDescent="0.25">
      <c r="D23" s="178" t="s">
        <v>330</v>
      </c>
      <c r="E23" s="76"/>
      <c r="F23" s="76"/>
      <c r="G23" s="76"/>
      <c r="H23" s="76"/>
      <c r="I23" s="76"/>
      <c r="J23" s="76"/>
      <c r="K23" s="76"/>
      <c r="L23" s="76"/>
      <c r="M23" s="179">
        <f>M22/((1+M21)^COUNT(G19:M19))</f>
        <v>3077608.3373368708</v>
      </c>
      <c r="N23" s="164"/>
      <c r="P23"/>
      <c r="Q23"/>
      <c r="R23"/>
      <c r="S23"/>
      <c r="T23"/>
      <c r="U23"/>
    </row>
    <row r="24" spans="4:21" x14ac:dyDescent="0.25">
      <c r="D24" s="178" t="s">
        <v>331</v>
      </c>
      <c r="E24" s="76"/>
      <c r="F24" s="76"/>
      <c r="G24" s="76"/>
      <c r="H24" s="76"/>
      <c r="I24" s="76"/>
      <c r="J24" s="76"/>
      <c r="K24" s="76"/>
      <c r="L24" s="76"/>
      <c r="M24" s="179">
        <f>NPV(M21,G19:M19)</f>
        <v>1557723.5138264527</v>
      </c>
      <c r="N24" s="164"/>
      <c r="P24"/>
      <c r="Q24"/>
      <c r="R24"/>
      <c r="S24"/>
      <c r="T24"/>
      <c r="U24"/>
    </row>
    <row r="25" spans="4:21" ht="15.75" thickBot="1" x14ac:dyDescent="0.3">
      <c r="D25" s="180" t="s">
        <v>332</v>
      </c>
      <c r="E25" s="78"/>
      <c r="F25" s="78"/>
      <c r="G25" s="78"/>
      <c r="H25" s="78"/>
      <c r="I25" s="78"/>
      <c r="J25" s="78"/>
      <c r="K25" s="78"/>
      <c r="L25" s="78"/>
      <c r="M25" s="181">
        <f>M24+M23</f>
        <v>4635331.851163324</v>
      </c>
      <c r="N25" s="164"/>
      <c r="P25"/>
      <c r="Q25"/>
      <c r="R25"/>
      <c r="S25"/>
      <c r="T25"/>
      <c r="U25"/>
    </row>
    <row r="26" spans="4:21" ht="15.75" thickTop="1" x14ac:dyDescent="0.25">
      <c r="D26" s="171"/>
      <c r="E26" s="67"/>
      <c r="F26" s="67"/>
      <c r="G26" s="67"/>
      <c r="H26" s="67"/>
      <c r="I26" s="67"/>
      <c r="J26" s="67"/>
      <c r="K26" s="67"/>
      <c r="L26" s="67"/>
      <c r="M26" s="182"/>
      <c r="N26" s="164"/>
      <c r="P26"/>
      <c r="Q26"/>
      <c r="R26"/>
      <c r="S26"/>
      <c r="T26"/>
      <c r="U26"/>
    </row>
    <row r="27" spans="4:21" x14ac:dyDescent="0.25">
      <c r="D27" s="171" t="s">
        <v>332</v>
      </c>
      <c r="E27" s="105"/>
      <c r="F27" s="105"/>
      <c r="G27" s="105"/>
      <c r="H27" s="105"/>
      <c r="I27" s="105"/>
      <c r="J27" s="105"/>
      <c r="K27" s="105"/>
      <c r="L27" s="105"/>
      <c r="M27" s="103">
        <f>M25</f>
        <v>4635331.851163324</v>
      </c>
      <c r="N27" s="164"/>
      <c r="P27"/>
      <c r="Q27"/>
      <c r="R27"/>
      <c r="S27"/>
      <c r="T27"/>
      <c r="U27"/>
    </row>
    <row r="28" spans="4:21" x14ac:dyDescent="0.25">
      <c r="D28" s="171" t="s">
        <v>224</v>
      </c>
      <c r="E28" s="105"/>
      <c r="F28" s="105"/>
      <c r="G28" s="105"/>
      <c r="H28" s="105"/>
      <c r="I28" s="105"/>
      <c r="J28" s="105"/>
      <c r="K28" s="105"/>
      <c r="L28" s="105"/>
      <c r="M28" s="103">
        <f>-M48</f>
        <v>-589426.2778374427</v>
      </c>
      <c r="N28" s="164"/>
      <c r="P28"/>
      <c r="Q28"/>
      <c r="R28"/>
      <c r="S28"/>
      <c r="T28"/>
      <c r="U28"/>
    </row>
    <row r="29" spans="4:21" x14ac:dyDescent="0.25">
      <c r="D29" s="183" t="s">
        <v>225</v>
      </c>
      <c r="E29" s="76"/>
      <c r="F29" s="76"/>
      <c r="G29" s="76"/>
      <c r="H29" s="76"/>
      <c r="I29" s="76"/>
      <c r="J29" s="76"/>
      <c r="K29" s="76"/>
      <c r="L29" s="76"/>
      <c r="M29" s="184">
        <f>'3-Statement (Base)'!R68</f>
        <v>24999.999999999887</v>
      </c>
      <c r="N29" s="164"/>
      <c r="P29"/>
      <c r="Q29"/>
      <c r="R29"/>
      <c r="S29"/>
      <c r="T29"/>
      <c r="U29"/>
    </row>
    <row r="30" spans="4:21" x14ac:dyDescent="0.25">
      <c r="D30" s="171" t="s">
        <v>227</v>
      </c>
      <c r="E30" s="105"/>
      <c r="F30" s="105"/>
      <c r="G30" s="105"/>
      <c r="H30" s="105"/>
      <c r="I30" s="105"/>
      <c r="J30" s="105"/>
      <c r="K30" s="105"/>
      <c r="L30" s="105"/>
      <c r="M30" s="103">
        <f>M28+M29</f>
        <v>-564426.27783744282</v>
      </c>
      <c r="P30"/>
      <c r="Q30"/>
      <c r="R30"/>
      <c r="S30"/>
      <c r="T30"/>
      <c r="U30"/>
    </row>
    <row r="31" spans="4:21" x14ac:dyDescent="0.25">
      <c r="D31" s="171" t="s">
        <v>226</v>
      </c>
      <c r="E31" s="105"/>
      <c r="F31" s="105"/>
      <c r="G31" s="105"/>
      <c r="H31" s="105"/>
      <c r="I31" s="105"/>
      <c r="J31" s="105"/>
      <c r="K31" s="105"/>
      <c r="L31" s="105"/>
      <c r="M31" s="103">
        <f>-'3-Statement (Base)'!R84</f>
        <v>-24962.829522656029</v>
      </c>
      <c r="P31"/>
      <c r="Q31"/>
      <c r="R31"/>
      <c r="S31"/>
      <c r="T31"/>
      <c r="U31"/>
    </row>
    <row r="32" spans="4:21" ht="15.75" thickBot="1" x14ac:dyDescent="0.3">
      <c r="D32" s="172" t="s">
        <v>222</v>
      </c>
      <c r="E32" s="72"/>
      <c r="F32" s="72"/>
      <c r="G32" s="72"/>
      <c r="H32" s="72"/>
      <c r="I32" s="72"/>
      <c r="J32" s="72"/>
      <c r="K32" s="72"/>
      <c r="L32" s="72"/>
      <c r="M32" s="173">
        <f>M27+M30+M31</f>
        <v>4045942.7438032255</v>
      </c>
      <c r="P32"/>
      <c r="Q32"/>
      <c r="R32"/>
      <c r="S32"/>
      <c r="T32"/>
      <c r="U32"/>
    </row>
    <row r="33" spans="4:23" ht="15.75" thickTop="1" x14ac:dyDescent="0.25">
      <c r="D33" s="171"/>
      <c r="E33" s="105"/>
      <c r="F33" s="105"/>
      <c r="G33" s="105"/>
      <c r="H33" s="105"/>
      <c r="I33" s="105"/>
      <c r="J33" s="105"/>
      <c r="K33" s="105"/>
      <c r="L33" s="105"/>
      <c r="M33" s="103"/>
      <c r="P33"/>
      <c r="Q33"/>
      <c r="R33"/>
      <c r="S33"/>
      <c r="T33"/>
      <c r="U33"/>
    </row>
    <row r="34" spans="4:23" x14ac:dyDescent="0.25">
      <c r="D34" s="171" t="s">
        <v>222</v>
      </c>
      <c r="E34" s="105"/>
      <c r="F34" s="105"/>
      <c r="G34" s="105"/>
      <c r="H34" s="105"/>
      <c r="I34" s="105"/>
      <c r="J34" s="105"/>
      <c r="K34" s="105"/>
      <c r="L34" s="105"/>
      <c r="M34" s="103">
        <f>M32</f>
        <v>4045942.7438032255</v>
      </c>
      <c r="P34"/>
      <c r="Q34"/>
      <c r="R34"/>
      <c r="S34"/>
      <c r="T34"/>
      <c r="U34"/>
    </row>
    <row r="35" spans="4:23" x14ac:dyDescent="0.25">
      <c r="D35" s="171" t="s">
        <v>345</v>
      </c>
      <c r="E35" s="105"/>
      <c r="F35" s="105"/>
      <c r="G35" s="105"/>
      <c r="H35" s="105"/>
      <c r="I35" s="105"/>
      <c r="J35" s="105"/>
      <c r="K35" s="105"/>
      <c r="L35" s="105"/>
      <c r="M35" s="185">
        <v>55900</v>
      </c>
      <c r="O35" s="77"/>
      <c r="P35" s="77"/>
      <c r="Q35" s="77"/>
      <c r="R35" s="77"/>
      <c r="S35"/>
      <c r="T35"/>
      <c r="U35"/>
    </row>
    <row r="36" spans="4:23" s="79" customFormat="1" ht="15.75" thickBot="1" x14ac:dyDescent="0.3">
      <c r="D36" s="186" t="s">
        <v>228</v>
      </c>
      <c r="E36" s="187"/>
      <c r="F36" s="187"/>
      <c r="G36" s="187"/>
      <c r="H36" s="187"/>
      <c r="I36" s="187"/>
      <c r="J36" s="187"/>
      <c r="K36" s="187"/>
      <c r="L36" s="187"/>
      <c r="M36" s="188">
        <f>M34/M35</f>
        <v>72.378224397195453</v>
      </c>
      <c r="O36"/>
      <c r="P36"/>
      <c r="Q36"/>
      <c r="R36"/>
      <c r="S36"/>
      <c r="T36"/>
      <c r="U36"/>
      <c r="V36"/>
      <c r="W36"/>
    </row>
    <row r="37" spans="4:23" s="79" customFormat="1" x14ac:dyDescent="0.25">
      <c r="D37" s="4"/>
      <c r="E37" s="86"/>
      <c r="F37" s="86"/>
      <c r="G37" s="86"/>
      <c r="H37" s="86"/>
      <c r="I37" s="86"/>
      <c r="J37" s="86"/>
      <c r="K37" s="86"/>
      <c r="L37" s="86"/>
      <c r="M37" s="86"/>
      <c r="O37"/>
      <c r="P37"/>
      <c r="Q37"/>
      <c r="R37"/>
      <c r="S37"/>
      <c r="T37"/>
      <c r="U37"/>
      <c r="V37"/>
      <c r="W37"/>
    </row>
    <row r="38" spans="4:23" s="79" customFormat="1" x14ac:dyDescent="0.25">
      <c r="D38" t="s">
        <v>221</v>
      </c>
      <c r="E38" s="88"/>
      <c r="F38" s="88">
        <f t="shared" ref="F38" si="4">F13</f>
        <v>266918.1435753681</v>
      </c>
      <c r="G38" s="88"/>
      <c r="H38" s="88"/>
      <c r="I38" s="88"/>
      <c r="J38" s="88"/>
      <c r="K38" s="88"/>
      <c r="L38" s="88"/>
      <c r="M38" s="88"/>
      <c r="O38"/>
      <c r="P38"/>
      <c r="Q38"/>
      <c r="R38"/>
      <c r="S38"/>
      <c r="T38"/>
      <c r="U38"/>
      <c r="V38"/>
      <c r="W38"/>
    </row>
    <row r="39" spans="4:23" s="79" customFormat="1" x14ac:dyDescent="0.25">
      <c r="D39" t="s">
        <v>342</v>
      </c>
      <c r="E39" s="88"/>
      <c r="F39" s="88">
        <f t="shared" ref="F39" si="5">$M$35</f>
        <v>55900</v>
      </c>
      <c r="G39" s="88"/>
      <c r="H39" s="88"/>
      <c r="I39" s="88"/>
      <c r="J39" s="88"/>
      <c r="K39" s="88"/>
      <c r="L39" s="88"/>
      <c r="M39" s="88"/>
      <c r="O39"/>
      <c r="P39"/>
      <c r="Q39"/>
      <c r="R39"/>
      <c r="S39"/>
      <c r="T39"/>
      <c r="U39"/>
      <c r="V39"/>
      <c r="W39"/>
    </row>
    <row r="40" spans="4:23" s="79" customFormat="1" x14ac:dyDescent="0.25">
      <c r="D40" t="s">
        <v>343</v>
      </c>
      <c r="E40" s="89"/>
      <c r="F40" s="89">
        <f t="shared" ref="F40" si="6">F38/F39</f>
        <v>4.7749220675378909</v>
      </c>
      <c r="G40" s="89"/>
      <c r="H40" s="89"/>
      <c r="I40" s="89"/>
      <c r="J40" s="89"/>
      <c r="K40" s="89"/>
      <c r="L40" s="89"/>
      <c r="M40" s="89"/>
      <c r="O40"/>
      <c r="P40"/>
      <c r="Q40"/>
      <c r="R40"/>
      <c r="S40"/>
      <c r="T40"/>
      <c r="U40"/>
      <c r="V40"/>
      <c r="W40"/>
    </row>
    <row r="41" spans="4:23" s="79" customFormat="1" x14ac:dyDescent="0.25">
      <c r="D41" t="s">
        <v>355</v>
      </c>
      <c r="E41" s="88"/>
      <c r="F41" s="88">
        <f>F38*F42</f>
        <v>4129223.6811109446</v>
      </c>
      <c r="G41" s="88"/>
      <c r="H41" s="88"/>
      <c r="I41" s="88"/>
      <c r="J41" s="88"/>
      <c r="K41" s="88"/>
      <c r="L41" s="88"/>
      <c r="M41" s="88"/>
      <c r="O41"/>
      <c r="P41"/>
      <c r="Q41"/>
      <c r="R41"/>
      <c r="S41"/>
      <c r="T41"/>
      <c r="U41"/>
      <c r="V41"/>
      <c r="W41"/>
    </row>
    <row r="42" spans="4:23" s="79" customFormat="1" x14ac:dyDescent="0.25">
      <c r="D42" t="s">
        <v>380</v>
      </c>
      <c r="E42" s="215"/>
      <c r="F42" s="215">
        <v>15.47</v>
      </c>
      <c r="G42" s="215"/>
      <c r="H42" s="215"/>
      <c r="I42" s="215"/>
      <c r="J42" s="215"/>
      <c r="K42" s="215"/>
      <c r="L42" s="215"/>
      <c r="M42" s="215"/>
      <c r="O42"/>
      <c r="P42"/>
      <c r="Q42"/>
      <c r="R42"/>
      <c r="S42"/>
      <c r="T42"/>
      <c r="U42"/>
      <c r="V42"/>
      <c r="W42"/>
    </row>
    <row r="43" spans="4:23" s="87" customFormat="1" ht="15.75" thickBot="1" x14ac:dyDescent="0.3">
      <c r="D43" s="6" t="s">
        <v>228</v>
      </c>
      <c r="E43" s="68"/>
      <c r="F43" s="68">
        <f t="shared" ref="F43" si="7">F41/F39</f>
        <v>73.868044384811171</v>
      </c>
      <c r="G43" s="68"/>
      <c r="H43" s="68"/>
      <c r="I43" s="68"/>
      <c r="J43" s="68"/>
      <c r="K43" s="68"/>
      <c r="L43" s="68"/>
      <c r="M43" s="68"/>
      <c r="O43"/>
      <c r="P43"/>
      <c r="Q43"/>
      <c r="R43"/>
      <c r="S43"/>
      <c r="T43"/>
      <c r="U43"/>
      <c r="V43"/>
      <c r="W43"/>
    </row>
    <row r="44" spans="4:23" s="79" customFormat="1" ht="16.5" thickTop="1" thickBot="1" x14ac:dyDescent="0.3">
      <c r="D44" s="90" t="s">
        <v>344</v>
      </c>
      <c r="E44" s="91"/>
      <c r="F44" s="91">
        <f>AVERAGE(F43,M36)</f>
        <v>73.123134391003305</v>
      </c>
      <c r="G44" s="91"/>
      <c r="H44" s="91"/>
      <c r="I44" s="91"/>
      <c r="J44" s="91"/>
      <c r="K44" s="91"/>
      <c r="L44" s="91"/>
      <c r="M44" s="91"/>
      <c r="O44"/>
      <c r="P44"/>
      <c r="Q44"/>
      <c r="R44"/>
      <c r="S44"/>
      <c r="T44"/>
      <c r="U44"/>
      <c r="V44"/>
      <c r="W44"/>
    </row>
    <row r="45" spans="4:23" ht="15.75" thickTop="1" x14ac:dyDescent="0.25">
      <c r="P45"/>
      <c r="Q45"/>
      <c r="R45"/>
      <c r="S45"/>
      <c r="T45"/>
      <c r="U45"/>
    </row>
    <row r="46" spans="4:23" x14ac:dyDescent="0.25">
      <c r="D46" s="228" t="s">
        <v>363</v>
      </c>
      <c r="E46" s="228"/>
      <c r="F46" s="228"/>
      <c r="G46" s="228"/>
      <c r="H46" s="228"/>
      <c r="I46" s="228"/>
      <c r="J46" s="228"/>
      <c r="K46" s="228"/>
      <c r="L46" s="228"/>
      <c r="M46" s="228"/>
      <c r="P46"/>
      <c r="Q46"/>
      <c r="R46"/>
      <c r="S46"/>
      <c r="T46"/>
      <c r="U46"/>
    </row>
    <row r="47" spans="4:23" ht="15.75" x14ac:dyDescent="0.25">
      <c r="D47" s="163"/>
      <c r="E47" s="30" t="str">
        <f t="shared" ref="E47:M47" si="8">E4</f>
        <v>Q4-24</v>
      </c>
      <c r="F47" s="30">
        <f t="shared" si="8"/>
        <v>45657</v>
      </c>
      <c r="G47" s="30">
        <f t="shared" si="8"/>
        <v>46022</v>
      </c>
      <c r="H47" s="30">
        <f t="shared" si="8"/>
        <v>46387</v>
      </c>
      <c r="I47" s="30">
        <f t="shared" si="8"/>
        <v>46752</v>
      </c>
      <c r="J47" s="30">
        <f t="shared" si="8"/>
        <v>47118</v>
      </c>
      <c r="K47" s="30">
        <f t="shared" si="8"/>
        <v>47483</v>
      </c>
      <c r="L47" s="30">
        <f t="shared" si="8"/>
        <v>47848</v>
      </c>
      <c r="M47" s="30">
        <f t="shared" si="8"/>
        <v>48213</v>
      </c>
      <c r="P47"/>
      <c r="Q47"/>
      <c r="R47"/>
      <c r="S47"/>
      <c r="T47"/>
      <c r="U47"/>
    </row>
    <row r="48" spans="4:23" x14ac:dyDescent="0.25">
      <c r="D48" t="s">
        <v>224</v>
      </c>
      <c r="E48" s="63">
        <f>'3-Statement (Base)'!J76+'3-Statement (Base)'!J77+'3-Statement (Base)'!J78</f>
        <v>526474.57804987591</v>
      </c>
      <c r="F48" s="63">
        <f>'3-Statement (Base)'!K76+'3-Statement (Base)'!K77+'3-Statement (Base)'!K78</f>
        <v>526474.57804987591</v>
      </c>
      <c r="G48" s="63">
        <f>'3-Statement (Base)'!L76+'3-Statement (Base)'!L77+'3-Statement (Base)'!L78</f>
        <v>513660.94202152872</v>
      </c>
      <c r="H48" s="63">
        <f>'3-Statement (Base)'!M76+'3-Statement (Base)'!M77+'3-Statement (Base)'!M78</f>
        <v>528197.98688707408</v>
      </c>
      <c r="I48" s="63">
        <f>'3-Statement (Base)'!N76+'3-Statement (Base)'!N77+'3-Statement (Base)'!N78</f>
        <v>540957.74492862611</v>
      </c>
      <c r="J48" s="63">
        <f>'3-Statement (Base)'!O76+'3-Statement (Base)'!O77+'3-Statement (Base)'!O78</f>
        <v>555238.82495602896</v>
      </c>
      <c r="K48" s="63">
        <f>'3-Statement (Base)'!P76+'3-Statement (Base)'!P77+'3-Statement (Base)'!P78</f>
        <v>566563.99798215786</v>
      </c>
      <c r="L48" s="63">
        <f>'3-Statement (Base)'!Q76+'3-Statement (Base)'!Q77+'3-Statement (Base)'!Q78</f>
        <v>573762.58702011209</v>
      </c>
      <c r="M48" s="63">
        <f>'3-Statement (Base)'!R76+'3-Statement (Base)'!R77+'3-Statement (Base)'!R78</f>
        <v>589426.2778374427</v>
      </c>
      <c r="P48"/>
      <c r="Q48"/>
      <c r="R48"/>
      <c r="S48"/>
      <c r="T48"/>
      <c r="U48"/>
    </row>
    <row r="49" spans="4:21" x14ac:dyDescent="0.25">
      <c r="D49" t="s">
        <v>232</v>
      </c>
      <c r="E49" s="63">
        <f t="shared" ref="E49:M49" si="9">E48+E52</f>
        <v>1934967.6020756071</v>
      </c>
      <c r="F49" s="63">
        <f t="shared" si="9"/>
        <v>1934967.6020756071</v>
      </c>
      <c r="G49" s="63">
        <f t="shared" si="9"/>
        <v>1899458.2826011172</v>
      </c>
      <c r="H49" s="63">
        <f t="shared" si="9"/>
        <v>1935507.781785086</v>
      </c>
      <c r="I49" s="63">
        <f t="shared" si="9"/>
        <v>1997973.9086578824</v>
      </c>
      <c r="J49" s="63">
        <f t="shared" si="9"/>
        <v>2023947.288851917</v>
      </c>
      <c r="K49" s="63">
        <f t="shared" si="9"/>
        <v>2074593.0199010733</v>
      </c>
      <c r="L49" s="63">
        <f t="shared" si="9"/>
        <v>2110087.4171473663</v>
      </c>
      <c r="M49" s="63">
        <f t="shared" si="9"/>
        <v>2156376.7537934156</v>
      </c>
      <c r="O49" s="63"/>
      <c r="P49"/>
      <c r="Q49"/>
      <c r="R49"/>
      <c r="S49"/>
      <c r="T49"/>
      <c r="U49"/>
    </row>
    <row r="50" spans="4:21" ht="15.75" thickBot="1" x14ac:dyDescent="0.3">
      <c r="D50" s="6" t="s">
        <v>233</v>
      </c>
      <c r="E50" s="80">
        <f t="shared" ref="E50:M50" si="10">E48/E49</f>
        <v>0.27208444083773575</v>
      </c>
      <c r="F50" s="80">
        <f t="shared" si="10"/>
        <v>0.27208444083773575</v>
      </c>
      <c r="G50" s="80">
        <f t="shared" si="10"/>
        <v>0.27042496627939716</v>
      </c>
      <c r="H50" s="80">
        <f t="shared" si="10"/>
        <v>0.27289892185291348</v>
      </c>
      <c r="I50" s="80">
        <f t="shared" si="10"/>
        <v>0.27075315777872627</v>
      </c>
      <c r="J50" s="80">
        <f t="shared" si="10"/>
        <v>0.27433462719821516</v>
      </c>
      <c r="K50" s="80">
        <f t="shared" si="10"/>
        <v>0.27309645436345603</v>
      </c>
      <c r="L50" s="80">
        <f t="shared" si="10"/>
        <v>0.27191413130920589</v>
      </c>
      <c r="M50" s="80">
        <f t="shared" si="10"/>
        <v>0.27334104617875632</v>
      </c>
      <c r="P50"/>
      <c r="Q50"/>
      <c r="R50"/>
      <c r="S50"/>
      <c r="T50"/>
      <c r="U50"/>
    </row>
    <row r="51" spans="4:21" ht="15.75" thickTop="1" x14ac:dyDescent="0.25">
      <c r="E51" s="81"/>
      <c r="F51" s="81"/>
      <c r="G51" s="81"/>
      <c r="H51" s="81"/>
      <c r="I51" s="81"/>
      <c r="J51" s="81"/>
      <c r="K51" s="81"/>
      <c r="L51" s="81"/>
      <c r="M51" s="81"/>
      <c r="P51"/>
      <c r="Q51"/>
      <c r="R51"/>
      <c r="S51"/>
      <c r="T51"/>
      <c r="U51"/>
    </row>
    <row r="52" spans="4:21" x14ac:dyDescent="0.25">
      <c r="D52" t="s">
        <v>234</v>
      </c>
      <c r="E52" s="70">
        <f>'3-Statement (Base)'!J83-'3-Statement (Base)'!J84</f>
        <v>1408493.024025731</v>
      </c>
      <c r="F52" s="70">
        <f>'3-Statement (Base)'!K83-'3-Statement (Base)'!K84</f>
        <v>1408493.024025731</v>
      </c>
      <c r="G52" s="70">
        <f>'3-Statement (Base)'!L83-'3-Statement (Base)'!L84</f>
        <v>1385797.3405795884</v>
      </c>
      <c r="H52" s="70">
        <f>'3-Statement (Base)'!M83-'3-Statement (Base)'!M84</f>
        <v>1407309.794898012</v>
      </c>
      <c r="I52" s="70">
        <f>'3-Statement (Base)'!N83-'3-Statement (Base)'!N84</f>
        <v>1457016.1637292563</v>
      </c>
      <c r="J52" s="70">
        <f>'3-Statement (Base)'!O83-'3-Statement (Base)'!O84</f>
        <v>1468708.4638958881</v>
      </c>
      <c r="K52" s="70">
        <f>'3-Statement (Base)'!P83-'3-Statement (Base)'!P84</f>
        <v>1508029.0219189154</v>
      </c>
      <c r="L52" s="70">
        <f>'3-Statement (Base)'!Q83-'3-Statement (Base)'!Q84</f>
        <v>1536324.8301272541</v>
      </c>
      <c r="M52" s="70">
        <f>'3-Statement (Base)'!R83-'3-Statement (Base)'!R84</f>
        <v>1566950.4759559731</v>
      </c>
      <c r="P52"/>
      <c r="Q52"/>
      <c r="R52"/>
      <c r="S52"/>
      <c r="T52"/>
      <c r="U52"/>
    </row>
    <row r="53" spans="4:21" x14ac:dyDescent="0.25">
      <c r="D53" t="s">
        <v>232</v>
      </c>
      <c r="E53" s="70">
        <f t="shared" ref="E53:M53" si="11">E48+E52</f>
        <v>1934967.6020756071</v>
      </c>
      <c r="F53" s="70">
        <f t="shared" si="11"/>
        <v>1934967.6020756071</v>
      </c>
      <c r="G53" s="70">
        <f t="shared" si="11"/>
        <v>1899458.2826011172</v>
      </c>
      <c r="H53" s="70">
        <f t="shared" si="11"/>
        <v>1935507.781785086</v>
      </c>
      <c r="I53" s="70">
        <f t="shared" si="11"/>
        <v>1997973.9086578824</v>
      </c>
      <c r="J53" s="70">
        <f t="shared" si="11"/>
        <v>2023947.288851917</v>
      </c>
      <c r="K53" s="70">
        <f t="shared" si="11"/>
        <v>2074593.0199010733</v>
      </c>
      <c r="L53" s="70">
        <f t="shared" si="11"/>
        <v>2110087.4171473663</v>
      </c>
      <c r="M53" s="70">
        <f t="shared" si="11"/>
        <v>2156376.7537934156</v>
      </c>
      <c r="P53"/>
      <c r="Q53"/>
      <c r="R53"/>
      <c r="S53"/>
      <c r="T53"/>
      <c r="U53"/>
    </row>
    <row r="54" spans="4:21" ht="15.75" thickBot="1" x14ac:dyDescent="0.3">
      <c r="D54" s="6" t="s">
        <v>235</v>
      </c>
      <c r="E54" s="80">
        <f t="shared" ref="E54:M54" si="12">E52/E53</f>
        <v>0.72791555916226425</v>
      </c>
      <c r="F54" s="80">
        <f t="shared" si="12"/>
        <v>0.72791555916226425</v>
      </c>
      <c r="G54" s="80">
        <f t="shared" si="12"/>
        <v>0.72957503372060284</v>
      </c>
      <c r="H54" s="80">
        <f t="shared" si="12"/>
        <v>0.72710107814708658</v>
      </c>
      <c r="I54" s="80">
        <f t="shared" si="12"/>
        <v>0.72924684222127367</v>
      </c>
      <c r="J54" s="80">
        <f t="shared" si="12"/>
        <v>0.72566537280178489</v>
      </c>
      <c r="K54" s="80">
        <f t="shared" si="12"/>
        <v>0.72690354563654402</v>
      </c>
      <c r="L54" s="80">
        <f t="shared" si="12"/>
        <v>0.72808586869079406</v>
      </c>
      <c r="M54" s="80">
        <f t="shared" si="12"/>
        <v>0.72665895382124379</v>
      </c>
      <c r="P54"/>
      <c r="Q54"/>
      <c r="R54"/>
      <c r="S54"/>
      <c r="T54"/>
      <c r="U54"/>
    </row>
    <row r="55" spans="4:21" ht="15.75" thickTop="1" x14ac:dyDescent="0.25">
      <c r="E55" s="81"/>
      <c r="F55" s="81"/>
      <c r="G55" s="81"/>
      <c r="H55" s="81"/>
      <c r="I55" s="81"/>
      <c r="J55" s="81"/>
      <c r="K55" s="81"/>
      <c r="L55" s="81"/>
      <c r="M55" s="81"/>
      <c r="P55"/>
      <c r="Q55"/>
      <c r="R55"/>
      <c r="S55"/>
      <c r="T55"/>
      <c r="U55"/>
    </row>
    <row r="56" spans="4:21" x14ac:dyDescent="0.25">
      <c r="D56" t="s">
        <v>224</v>
      </c>
      <c r="E56" s="70">
        <f>E48</f>
        <v>526474.57804987591</v>
      </c>
      <c r="F56" s="70">
        <f t="shared" ref="F56:M56" si="13">F48</f>
        <v>526474.57804987591</v>
      </c>
      <c r="G56" s="70">
        <f t="shared" si="13"/>
        <v>513660.94202152872</v>
      </c>
      <c r="H56" s="70">
        <f t="shared" si="13"/>
        <v>528197.98688707408</v>
      </c>
      <c r="I56" s="70">
        <f t="shared" si="13"/>
        <v>540957.74492862611</v>
      </c>
      <c r="J56" s="70">
        <f t="shared" si="13"/>
        <v>555238.82495602896</v>
      </c>
      <c r="K56" s="70">
        <f t="shared" si="13"/>
        <v>566563.99798215786</v>
      </c>
      <c r="L56" s="70">
        <f t="shared" si="13"/>
        <v>573762.58702011209</v>
      </c>
      <c r="M56" s="70">
        <f t="shared" si="13"/>
        <v>589426.2778374427</v>
      </c>
      <c r="P56"/>
      <c r="Q56"/>
      <c r="R56"/>
      <c r="S56"/>
      <c r="T56"/>
      <c r="U56"/>
    </row>
    <row r="57" spans="4:21" x14ac:dyDescent="0.25">
      <c r="D57" t="s">
        <v>230</v>
      </c>
      <c r="E57" s="70">
        <f t="shared" ref="E57:M57" si="14">E9</f>
        <v>96583.253815088305</v>
      </c>
      <c r="F57" s="70">
        <f t="shared" si="14"/>
        <v>396112.25381508825</v>
      </c>
      <c r="G57" s="70">
        <f t="shared" si="14"/>
        <v>406509.09778250946</v>
      </c>
      <c r="H57" s="70">
        <f t="shared" si="14"/>
        <v>426294.94310478237</v>
      </c>
      <c r="I57" s="70">
        <f t="shared" si="14"/>
        <v>470491.83402551227</v>
      </c>
      <c r="J57" s="70">
        <f t="shared" si="14"/>
        <v>476396.02828224469</v>
      </c>
      <c r="K57" s="70">
        <f t="shared" si="14"/>
        <v>490700.94527782209</v>
      </c>
      <c r="L57" s="70">
        <f t="shared" si="14"/>
        <v>515486.7384627795</v>
      </c>
      <c r="M57" s="70">
        <f t="shared" si="14"/>
        <v>540589.50504343049</v>
      </c>
      <c r="P57"/>
      <c r="Q57"/>
      <c r="R57"/>
      <c r="S57"/>
      <c r="T57"/>
      <c r="U57"/>
    </row>
    <row r="58" spans="4:21" x14ac:dyDescent="0.25">
      <c r="D58" s="71" t="s">
        <v>242</v>
      </c>
      <c r="E58" s="84">
        <f>'3-Statement (Base)'!J94</f>
        <v>20499.369202312431</v>
      </c>
      <c r="F58" s="84">
        <f>'3-Statement (Base)'!K94</f>
        <v>82224.369202312431</v>
      </c>
      <c r="G58" s="84">
        <f>'3-Statement (Base)'!L94</f>
        <v>77682.278643183861</v>
      </c>
      <c r="H58" s="84">
        <f>'3-Statement (Base)'!M94</f>
        <v>80361.976994712619</v>
      </c>
      <c r="I58" s="84">
        <f>'3-Statement (Base)'!N94</f>
        <v>84775.858977111347</v>
      </c>
      <c r="J58" s="84">
        <f>'3-Statement (Base)'!O94</f>
        <v>88250.32889722861</v>
      </c>
      <c r="K58" s="84">
        <f>'3-Statement (Base)'!P94</f>
        <v>93983.779032580846</v>
      </c>
      <c r="L58" s="84">
        <f>'3-Statement (Base)'!Q94</f>
        <v>96526.603670199576</v>
      </c>
      <c r="M58" s="84">
        <f>'3-Statement (Base)'!R94</f>
        <v>100817.28807244502</v>
      </c>
      <c r="P58"/>
      <c r="Q58"/>
      <c r="R58"/>
      <c r="S58"/>
      <c r="T58"/>
      <c r="U58"/>
    </row>
    <row r="59" spans="4:21" x14ac:dyDescent="0.25">
      <c r="D59" t="s">
        <v>327</v>
      </c>
      <c r="E59" s="70">
        <f>(E57+E58)*4</f>
        <v>468330.49206960294</v>
      </c>
      <c r="F59" s="70">
        <f>(F57+F58)</f>
        <v>478336.62301740068</v>
      </c>
      <c r="G59" s="70">
        <f t="shared" ref="G59:M59" si="15">(G57+G58)</f>
        <v>484191.37642569334</v>
      </c>
      <c r="H59" s="70">
        <f t="shared" si="15"/>
        <v>506656.92009949498</v>
      </c>
      <c r="I59" s="70">
        <f t="shared" si="15"/>
        <v>555267.69300262362</v>
      </c>
      <c r="J59" s="70">
        <f t="shared" si="15"/>
        <v>564646.35717947327</v>
      </c>
      <c r="K59" s="70">
        <f t="shared" si="15"/>
        <v>584684.72431040299</v>
      </c>
      <c r="L59" s="70">
        <f t="shared" si="15"/>
        <v>612013.34213297907</v>
      </c>
      <c r="M59" s="70">
        <f t="shared" si="15"/>
        <v>641406.79311587545</v>
      </c>
      <c r="N59" s="77"/>
      <c r="P59"/>
      <c r="Q59"/>
      <c r="R59"/>
      <c r="S59"/>
      <c r="T59"/>
      <c r="U59"/>
    </row>
    <row r="60" spans="4:21" ht="15.75" thickBot="1" x14ac:dyDescent="0.3">
      <c r="D60" s="6" t="s">
        <v>236</v>
      </c>
      <c r="E60" s="68">
        <f t="shared" ref="E60:M60" si="16">E56/E59</f>
        <v>1.1241518264662376</v>
      </c>
      <c r="F60" s="68">
        <f t="shared" si="16"/>
        <v>1.1006361476752828</v>
      </c>
      <c r="G60" s="68">
        <f t="shared" si="16"/>
        <v>1.0608634664528314</v>
      </c>
      <c r="H60" s="68">
        <f t="shared" si="16"/>
        <v>1.042516081263331</v>
      </c>
      <c r="I60" s="68">
        <f t="shared" si="16"/>
        <v>0.97422874002156312</v>
      </c>
      <c r="J60" s="68">
        <f t="shared" si="16"/>
        <v>0.98333907213988436</v>
      </c>
      <c r="K60" s="68">
        <f t="shared" si="16"/>
        <v>0.96900769667000053</v>
      </c>
      <c r="L60" s="68">
        <f t="shared" si="16"/>
        <v>0.93750012870707022</v>
      </c>
      <c r="M60" s="68">
        <f t="shared" si="16"/>
        <v>0.91895858317010048</v>
      </c>
      <c r="P60"/>
      <c r="Q60"/>
      <c r="R60"/>
      <c r="S60"/>
      <c r="T60"/>
      <c r="U60"/>
    </row>
    <row r="61" spans="4:21" ht="15.75" thickTop="1" x14ac:dyDescent="0.25">
      <c r="E61" s="69"/>
      <c r="F61" s="69"/>
      <c r="G61" s="69"/>
      <c r="H61" s="69"/>
      <c r="I61" s="69"/>
      <c r="J61" s="69"/>
      <c r="K61" s="69"/>
      <c r="L61" s="69"/>
      <c r="M61" s="69"/>
      <c r="P61"/>
      <c r="Q61"/>
      <c r="R61"/>
      <c r="S61"/>
      <c r="T61"/>
      <c r="U61"/>
    </row>
    <row r="62" spans="4:21" x14ac:dyDescent="0.25">
      <c r="D62" t="s">
        <v>230</v>
      </c>
      <c r="E62" s="70">
        <f t="shared" ref="E62:M62" si="17">E57</f>
        <v>96583.253815088305</v>
      </c>
      <c r="F62" s="70">
        <f t="shared" si="17"/>
        <v>396112.25381508825</v>
      </c>
      <c r="G62" s="70">
        <f t="shared" si="17"/>
        <v>406509.09778250946</v>
      </c>
      <c r="H62" s="70">
        <f t="shared" si="17"/>
        <v>426294.94310478237</v>
      </c>
      <c r="I62" s="70">
        <f t="shared" si="17"/>
        <v>470491.83402551227</v>
      </c>
      <c r="J62" s="70">
        <f t="shared" si="17"/>
        <v>476396.02828224469</v>
      </c>
      <c r="K62" s="70">
        <f t="shared" si="17"/>
        <v>490700.94527782209</v>
      </c>
      <c r="L62" s="70">
        <f t="shared" si="17"/>
        <v>515486.7384627795</v>
      </c>
      <c r="M62" s="70">
        <f t="shared" si="17"/>
        <v>540589.50504343049</v>
      </c>
      <c r="P62"/>
      <c r="Q62"/>
      <c r="R62"/>
      <c r="S62"/>
      <c r="T62"/>
      <c r="U62"/>
    </row>
    <row r="63" spans="4:21" x14ac:dyDescent="0.25">
      <c r="D63" t="s">
        <v>237</v>
      </c>
      <c r="E63" s="70">
        <f>-'3-Statement (Base)'!J55</f>
        <v>4723.6237999999994</v>
      </c>
      <c r="F63" s="70">
        <f>-'3-Statement (Base)'!K55</f>
        <v>18790.623800000001</v>
      </c>
      <c r="G63" s="70">
        <f>-'3-Statement (Base)'!L55</f>
        <v>18749.48186037406</v>
      </c>
      <c r="H63" s="70">
        <f>-'3-Statement (Base)'!M55</f>
        <v>18641.766082588834</v>
      </c>
      <c r="I63" s="70">
        <f>-'3-Statement (Base)'!N55</f>
        <v>18398.997731600746</v>
      </c>
      <c r="J63" s="70">
        <f>-'3-Statement (Base)'!O55</f>
        <v>18166.799806085699</v>
      </c>
      <c r="K63" s="70">
        <f>-'3-Statement (Base)'!P55</f>
        <v>17928.662588812756</v>
      </c>
      <c r="L63" s="70">
        <f>-'3-Statement (Base)'!Q55</f>
        <v>17706.955716616834</v>
      </c>
      <c r="M63" s="70">
        <f>-'3-Statement (Base)'!R55</f>
        <v>17507.516229778274</v>
      </c>
      <c r="P63"/>
      <c r="Q63"/>
      <c r="R63"/>
      <c r="S63"/>
      <c r="T63"/>
      <c r="U63"/>
    </row>
    <row r="64" spans="4:21" ht="15.75" thickBot="1" x14ac:dyDescent="0.3">
      <c r="D64" s="6" t="s">
        <v>238</v>
      </c>
      <c r="E64" s="68">
        <f t="shared" ref="E64:M64" si="18">E62/E63</f>
        <v>20.446855614345985</v>
      </c>
      <c r="F64" s="68">
        <f t="shared" si="18"/>
        <v>21.080314205166953</v>
      </c>
      <c r="G64" s="68">
        <f t="shared" si="18"/>
        <v>21.681084352610448</v>
      </c>
      <c r="H64" s="68">
        <f t="shared" si="18"/>
        <v>22.867733733819151</v>
      </c>
      <c r="I64" s="68">
        <f t="shared" si="18"/>
        <v>25.571601284423803</v>
      </c>
      <c r="J64" s="68">
        <f t="shared" si="18"/>
        <v>26.223442398625249</v>
      </c>
      <c r="K64" s="68">
        <f t="shared" si="18"/>
        <v>27.369634675595538</v>
      </c>
      <c r="L64" s="68">
        <f t="shared" si="18"/>
        <v>29.112104119570848</v>
      </c>
      <c r="M64" s="68">
        <f t="shared" si="18"/>
        <v>30.877566980286435</v>
      </c>
      <c r="P64"/>
      <c r="Q64"/>
      <c r="R64"/>
      <c r="S64"/>
      <c r="T64"/>
      <c r="U64"/>
    </row>
    <row r="65" spans="4:21" ht="15.75" thickTop="1" x14ac:dyDescent="0.25">
      <c r="P65"/>
      <c r="Q65"/>
      <c r="R65"/>
      <c r="S65"/>
      <c r="T65"/>
      <c r="U65"/>
    </row>
    <row r="66" spans="4:21" x14ac:dyDescent="0.25">
      <c r="D66" t="s">
        <v>336</v>
      </c>
      <c r="E66" s="63">
        <f>E59/4</f>
        <v>117082.62301740074</v>
      </c>
      <c r="F66" s="63">
        <f t="shared" ref="F66:M66" si="19">F59</f>
        <v>478336.62301740068</v>
      </c>
      <c r="G66" s="63">
        <f t="shared" si="19"/>
        <v>484191.37642569334</v>
      </c>
      <c r="H66" s="63">
        <f t="shared" si="19"/>
        <v>506656.92009949498</v>
      </c>
      <c r="I66" s="63">
        <f t="shared" si="19"/>
        <v>555267.69300262362</v>
      </c>
      <c r="J66" s="63">
        <f t="shared" si="19"/>
        <v>564646.35717947327</v>
      </c>
      <c r="K66" s="63">
        <f t="shared" si="19"/>
        <v>584684.72431040299</v>
      </c>
      <c r="L66" s="63">
        <f t="shared" si="19"/>
        <v>612013.34213297907</v>
      </c>
      <c r="M66" s="63">
        <f t="shared" si="19"/>
        <v>641406.79311587545</v>
      </c>
      <c r="P66"/>
      <c r="Q66"/>
      <c r="R66"/>
      <c r="S66"/>
      <c r="T66"/>
      <c r="U66"/>
    </row>
    <row r="67" spans="4:21" x14ac:dyDescent="0.25">
      <c r="D67" t="s">
        <v>237</v>
      </c>
      <c r="E67" s="63">
        <f t="shared" ref="E67:M67" si="20">E63</f>
        <v>4723.6237999999994</v>
      </c>
      <c r="F67" s="63">
        <f t="shared" si="20"/>
        <v>18790.623800000001</v>
      </c>
      <c r="G67" s="63">
        <f t="shared" si="20"/>
        <v>18749.48186037406</v>
      </c>
      <c r="H67" s="63">
        <f t="shared" si="20"/>
        <v>18641.766082588834</v>
      </c>
      <c r="I67" s="63">
        <f t="shared" si="20"/>
        <v>18398.997731600746</v>
      </c>
      <c r="J67" s="63">
        <f t="shared" si="20"/>
        <v>18166.799806085699</v>
      </c>
      <c r="K67" s="63">
        <f t="shared" si="20"/>
        <v>17928.662588812756</v>
      </c>
      <c r="L67" s="63">
        <f t="shared" si="20"/>
        <v>17706.955716616834</v>
      </c>
      <c r="M67" s="63">
        <f t="shared" si="20"/>
        <v>17507.516229778274</v>
      </c>
      <c r="P67"/>
      <c r="Q67"/>
      <c r="R67"/>
      <c r="S67"/>
      <c r="T67"/>
      <c r="U67"/>
    </row>
    <row r="68" spans="4:21" x14ac:dyDescent="0.25">
      <c r="D68" s="71" t="s">
        <v>357</v>
      </c>
      <c r="E68" s="76">
        <f>'3-Statement (Base)'!J78*0.01</f>
        <v>2179.6708229426436</v>
      </c>
      <c r="F68" s="76">
        <f>'3-Statement (Base)'!K78*0.01</f>
        <v>2179.6708229426436</v>
      </c>
      <c r="G68" s="76">
        <f>'3-Statement (Base)'!L78*0.01</f>
        <v>2158.0899237055878</v>
      </c>
      <c r="H68" s="76">
        <f>'3-Statement (Base)'!M78*0.01</f>
        <v>2136.7226967382057</v>
      </c>
      <c r="I68" s="76">
        <f>'3-Statement (Base)'!N78*0.01</f>
        <v>2115.5670264734708</v>
      </c>
      <c r="J68" s="76">
        <f>'3-Statement (Base)'!O78*0.01</f>
        <v>2094.6208182905652</v>
      </c>
      <c r="K68" s="76">
        <f>'3-Statement (Base)'!P78*0.01</f>
        <v>2073.8819983074904</v>
      </c>
      <c r="L68" s="76">
        <f>'3-Statement (Base)'!Q78*0.01</f>
        <v>2053.3485131757329</v>
      </c>
      <c r="M68" s="76">
        <f>'3-Statement (Base)'!R78*0.01</f>
        <v>2033.0183298769634</v>
      </c>
      <c r="P68"/>
      <c r="Q68"/>
      <c r="R68"/>
      <c r="S68"/>
      <c r="T68"/>
      <c r="U68"/>
    </row>
    <row r="69" spans="4:21" x14ac:dyDescent="0.25">
      <c r="D69" t="s">
        <v>337</v>
      </c>
      <c r="E69" s="63">
        <f t="shared" ref="E69:M69" si="21">(E67+E68)</f>
        <v>6903.2946229426434</v>
      </c>
      <c r="F69" s="63">
        <f t="shared" si="21"/>
        <v>20970.294622942645</v>
      </c>
      <c r="G69" s="63">
        <f t="shared" si="21"/>
        <v>20907.57178407965</v>
      </c>
      <c r="H69" s="63">
        <f t="shared" si="21"/>
        <v>20778.488779327039</v>
      </c>
      <c r="I69" s="63">
        <f t="shared" si="21"/>
        <v>20514.564758074215</v>
      </c>
      <c r="J69" s="63">
        <f t="shared" si="21"/>
        <v>20261.420624376264</v>
      </c>
      <c r="K69" s="63">
        <f t="shared" si="21"/>
        <v>20002.544587120246</v>
      </c>
      <c r="L69" s="63">
        <f t="shared" si="21"/>
        <v>19760.304229792568</v>
      </c>
      <c r="M69" s="63">
        <f t="shared" si="21"/>
        <v>19540.534559655236</v>
      </c>
      <c r="P69"/>
      <c r="Q69"/>
      <c r="R69"/>
      <c r="S69"/>
      <c r="T69"/>
      <c r="U69"/>
    </row>
    <row r="70" spans="4:21" ht="15.75" thickBot="1" x14ac:dyDescent="0.3">
      <c r="D70" s="6" t="s">
        <v>239</v>
      </c>
      <c r="E70" s="68">
        <f t="shared" ref="E70:M70" si="22">E66/E69</f>
        <v>16.960397811833843</v>
      </c>
      <c r="F70" s="68">
        <f t="shared" si="22"/>
        <v>22.810200410540457</v>
      </c>
      <c r="G70" s="68">
        <f t="shared" si="22"/>
        <v>23.15866143740266</v>
      </c>
      <c r="H70" s="68">
        <f t="shared" si="22"/>
        <v>24.38372325727455</v>
      </c>
      <c r="I70" s="68">
        <f t="shared" si="22"/>
        <v>27.06699847405141</v>
      </c>
      <c r="J70" s="68">
        <f t="shared" si="22"/>
        <v>27.868053659581712</v>
      </c>
      <c r="K70" s="68">
        <f t="shared" si="22"/>
        <v>29.230517235636352</v>
      </c>
      <c r="L70" s="68">
        <f t="shared" si="22"/>
        <v>30.971858277882578</v>
      </c>
      <c r="M70" s="68">
        <f t="shared" si="22"/>
        <v>32.824424078969116</v>
      </c>
      <c r="P70"/>
      <c r="Q70"/>
      <c r="R70"/>
      <c r="S70"/>
      <c r="T70"/>
      <c r="U70"/>
    </row>
    <row r="71" spans="4:21" ht="15.75" thickTop="1" x14ac:dyDescent="0.25">
      <c r="P71"/>
      <c r="Q71"/>
      <c r="R71"/>
      <c r="S71"/>
      <c r="T71"/>
      <c r="U71"/>
    </row>
    <row r="72" spans="4:21" x14ac:dyDescent="0.25">
      <c r="D72" t="s">
        <v>336</v>
      </c>
      <c r="E72" s="63">
        <f t="shared" ref="E72:M72" si="23">E66</f>
        <v>117082.62301740074</v>
      </c>
      <c r="F72" s="63">
        <f t="shared" si="23"/>
        <v>478336.62301740068</v>
      </c>
      <c r="G72" s="63">
        <f t="shared" si="23"/>
        <v>484191.37642569334</v>
      </c>
      <c r="H72" s="63">
        <f t="shared" si="23"/>
        <v>506656.92009949498</v>
      </c>
      <c r="I72" s="63">
        <f t="shared" si="23"/>
        <v>555267.69300262362</v>
      </c>
      <c r="J72" s="63">
        <f t="shared" si="23"/>
        <v>564646.35717947327</v>
      </c>
      <c r="K72" s="63">
        <f t="shared" si="23"/>
        <v>584684.72431040299</v>
      </c>
      <c r="L72" s="63">
        <f t="shared" si="23"/>
        <v>612013.34213297907</v>
      </c>
      <c r="M72" s="63">
        <f t="shared" si="23"/>
        <v>641406.79311587545</v>
      </c>
      <c r="P72"/>
      <c r="Q72"/>
      <c r="R72"/>
      <c r="S72"/>
      <c r="T72"/>
      <c r="U72"/>
    </row>
    <row r="73" spans="4:21" x14ac:dyDescent="0.25">
      <c r="D73" t="s">
        <v>237</v>
      </c>
      <c r="E73" s="63">
        <f t="shared" ref="E73:M73" si="24">E63</f>
        <v>4723.6237999999994</v>
      </c>
      <c r="F73" s="63">
        <f t="shared" si="24"/>
        <v>18790.623800000001</v>
      </c>
      <c r="G73" s="63">
        <f t="shared" si="24"/>
        <v>18749.48186037406</v>
      </c>
      <c r="H73" s="63">
        <f t="shared" si="24"/>
        <v>18641.766082588834</v>
      </c>
      <c r="I73" s="63">
        <f t="shared" si="24"/>
        <v>18398.997731600746</v>
      </c>
      <c r="J73" s="63">
        <f t="shared" si="24"/>
        <v>18166.799806085699</v>
      </c>
      <c r="K73" s="63">
        <f t="shared" si="24"/>
        <v>17928.662588812756</v>
      </c>
      <c r="L73" s="63">
        <f t="shared" si="24"/>
        <v>17706.955716616834</v>
      </c>
      <c r="M73" s="63">
        <f t="shared" si="24"/>
        <v>17507.516229778274</v>
      </c>
      <c r="P73"/>
      <c r="Q73"/>
      <c r="R73"/>
      <c r="S73"/>
      <c r="T73"/>
      <c r="U73"/>
    </row>
    <row r="74" spans="4:21" x14ac:dyDescent="0.25">
      <c r="D74" s="71" t="s">
        <v>339</v>
      </c>
      <c r="E74" s="76">
        <f>-'3-Statement (Base)'!J54</f>
        <v>6260.0936533050226</v>
      </c>
      <c r="F74" s="76">
        <f>-'3-Statement (Base)'!K54</f>
        <v>25113.093653305023</v>
      </c>
      <c r="G74" s="76">
        <f>-'3-Statement (Base)'!L54</f>
        <v>19944.303346773031</v>
      </c>
      <c r="H74" s="76">
        <f>-'3-Statement (Base)'!M54</f>
        <v>20980.147304739094</v>
      </c>
      <c r="I74" s="76">
        <f>-'3-Statement (Base)'!N54</f>
        <v>23055.523443826834</v>
      </c>
      <c r="J74" s="76">
        <f>-'3-Statement (Base)'!O54</f>
        <v>24400.952839236474</v>
      </c>
      <c r="K74" s="76">
        <f>-'3-Statement (Base)'!P54</f>
        <v>25817.608497896952</v>
      </c>
      <c r="L74" s="76">
        <f>-'3-Statement (Base)'!Q54</f>
        <v>25886.01090774516</v>
      </c>
      <c r="M74" s="76">
        <f>-'3-Statement (Base)'!R54</f>
        <v>27269.709026558863</v>
      </c>
      <c r="P74"/>
      <c r="Q74"/>
      <c r="R74"/>
      <c r="S74"/>
      <c r="T74"/>
      <c r="U74"/>
    </row>
    <row r="75" spans="4:21" x14ac:dyDescent="0.25">
      <c r="D75" t="s">
        <v>338</v>
      </c>
      <c r="E75" s="63">
        <f t="shared" ref="E75:M75" si="25">SUM(E73:E74)</f>
        <v>10983.717453305022</v>
      </c>
      <c r="F75" s="63">
        <f t="shared" si="25"/>
        <v>43903.717453305027</v>
      </c>
      <c r="G75" s="63">
        <f t="shared" si="25"/>
        <v>38693.785207147092</v>
      </c>
      <c r="H75" s="63">
        <f t="shared" si="25"/>
        <v>39621.913387327928</v>
      </c>
      <c r="I75" s="63">
        <f t="shared" si="25"/>
        <v>41454.521175427581</v>
      </c>
      <c r="J75" s="63">
        <f t="shared" si="25"/>
        <v>42567.752645322173</v>
      </c>
      <c r="K75" s="63">
        <f t="shared" si="25"/>
        <v>43746.271086709705</v>
      </c>
      <c r="L75" s="63">
        <f t="shared" si="25"/>
        <v>43592.966624361994</v>
      </c>
      <c r="M75" s="63">
        <f t="shared" si="25"/>
        <v>44777.225256337137</v>
      </c>
      <c r="P75"/>
      <c r="Q75"/>
      <c r="R75"/>
      <c r="S75"/>
      <c r="T75"/>
      <c r="U75"/>
    </row>
    <row r="76" spans="4:21" ht="15.75" thickBot="1" x14ac:dyDescent="0.3">
      <c r="D76" s="6" t="s">
        <v>335</v>
      </c>
      <c r="E76" s="68">
        <f t="shared" ref="E76:M76" si="26">(E72+E75)/E75</f>
        <v>11.659653574953383</v>
      </c>
      <c r="F76" s="68">
        <f t="shared" si="26"/>
        <v>11.895128038443405</v>
      </c>
      <c r="G76" s="68">
        <f t="shared" si="26"/>
        <v>13.513414591867296</v>
      </c>
      <c r="H76" s="68">
        <f t="shared" si="26"/>
        <v>13.787290587070347</v>
      </c>
      <c r="I76" s="68">
        <f t="shared" si="26"/>
        <v>14.394623246348385</v>
      </c>
      <c r="J76" s="68">
        <f t="shared" si="26"/>
        <v>14.264650400601381</v>
      </c>
      <c r="K76" s="68">
        <f t="shared" si="26"/>
        <v>14.365361430497618</v>
      </c>
      <c r="L76" s="68">
        <f t="shared" si="26"/>
        <v>15.039268017858518</v>
      </c>
      <c r="M76" s="68">
        <f t="shared" si="26"/>
        <v>15.324397937656927</v>
      </c>
      <c r="P76"/>
      <c r="Q76"/>
      <c r="R76"/>
      <c r="S76"/>
      <c r="T76"/>
      <c r="U76"/>
    </row>
    <row r="77" spans="4:21" ht="15.75" thickTop="1" x14ac:dyDescent="0.25">
      <c r="P77"/>
      <c r="Q77"/>
      <c r="R77"/>
      <c r="S77"/>
      <c r="T77"/>
      <c r="U77"/>
    </row>
    <row r="78" spans="4:21" x14ac:dyDescent="0.25">
      <c r="D78" t="s">
        <v>240</v>
      </c>
      <c r="E78" s="63">
        <f>'Balance Sheet NWC (Base)'!J11</f>
        <v>1262501.920502441</v>
      </c>
      <c r="F78" s="63">
        <f>'Balance Sheet NWC (Base)'!K11</f>
        <v>1262501.920502441</v>
      </c>
      <c r="G78" s="63">
        <f>'Balance Sheet NWC (Base)'!L11</f>
        <v>1229713.8585018658</v>
      </c>
      <c r="H78" s="63">
        <f>'Balance Sheet NWC (Base)'!M11</f>
        <v>1286094.4670797531</v>
      </c>
      <c r="I78" s="63">
        <f>'Balance Sheet NWC (Base)'!N11</f>
        <v>1378875.0024513437</v>
      </c>
      <c r="J78" s="63">
        <f>'Balance Sheet NWC (Base)'!O11</f>
        <v>1414647.8403629242</v>
      </c>
      <c r="K78" s="63">
        <f>'Balance Sheet NWC (Base)'!P11</f>
        <v>1485309.5288850139</v>
      </c>
      <c r="L78" s="63">
        <f>'Balance Sheet NWC (Base)'!Q11</f>
        <v>1542082.5856822887</v>
      </c>
      <c r="M78" s="63">
        <f>'Balance Sheet NWC (Base)'!R11</f>
        <v>1610837.2766797449</v>
      </c>
      <c r="P78"/>
      <c r="Q78"/>
      <c r="R78"/>
      <c r="S78"/>
      <c r="T78"/>
      <c r="U78"/>
    </row>
    <row r="79" spans="4:21" x14ac:dyDescent="0.25">
      <c r="D79" t="s">
        <v>241</v>
      </c>
      <c r="E79" s="63">
        <f>'Balance Sheet NWC (Base)'!J24</f>
        <v>599585.81881622109</v>
      </c>
      <c r="F79" s="63">
        <f>'Balance Sheet NWC (Base)'!K24</f>
        <v>599585.81881622109</v>
      </c>
      <c r="G79" s="63">
        <f>'Balance Sheet NWC (Base)'!L24</f>
        <v>589166.49581113993</v>
      </c>
      <c r="H79" s="63">
        <f>'Balance Sheet NWC (Base)'!M24</f>
        <v>607083.00981510128</v>
      </c>
      <c r="I79" s="63">
        <f>'Balance Sheet NWC (Base)'!N24</f>
        <v>636566.61780034914</v>
      </c>
      <c r="J79" s="63">
        <f>'Balance Sheet NWC (Base)'!O24</f>
        <v>647934.43676453899</v>
      </c>
      <c r="K79" s="63">
        <f>'Balance Sheet NWC (Base)'!P24</f>
        <v>670389.16302384553</v>
      </c>
      <c r="L79" s="63">
        <f>'Balance Sheet NWC (Base)'!Q24</f>
        <v>688430.38841698552</v>
      </c>
      <c r="M79" s="63">
        <f>'Balance Sheet NWC (Base)'!R24</f>
        <v>710279.11291935085</v>
      </c>
      <c r="P79"/>
      <c r="Q79"/>
      <c r="R79"/>
      <c r="S79"/>
      <c r="T79"/>
      <c r="U79"/>
    </row>
    <row r="80" spans="4:21" ht="15.75" thickBot="1" x14ac:dyDescent="0.3">
      <c r="D80" s="6" t="s">
        <v>325</v>
      </c>
      <c r="E80" s="68">
        <f t="shared" ref="E80:M80" si="27">E78/E79</f>
        <v>2.1056233834800056</v>
      </c>
      <c r="F80" s="68">
        <f t="shared" si="27"/>
        <v>2.1056233834800056</v>
      </c>
      <c r="G80" s="68">
        <f t="shared" si="27"/>
        <v>2.0872094174480287</v>
      </c>
      <c r="H80" s="68">
        <f t="shared" si="27"/>
        <v>2.1184820630566779</v>
      </c>
      <c r="I80" s="68">
        <f t="shared" si="27"/>
        <v>2.1661126485332129</v>
      </c>
      <c r="J80" s="68">
        <f t="shared" si="27"/>
        <v>2.1833194226054244</v>
      </c>
      <c r="K80" s="68">
        <f t="shared" si="27"/>
        <v>2.2155929880868048</v>
      </c>
      <c r="L80" s="68">
        <f t="shared" si="27"/>
        <v>2.239997843831731</v>
      </c>
      <c r="M80" s="68">
        <f t="shared" si="27"/>
        <v>2.2678933497832543</v>
      </c>
      <c r="P80"/>
      <c r="Q80"/>
      <c r="R80"/>
      <c r="S80"/>
      <c r="T80"/>
      <c r="U80"/>
    </row>
    <row r="81" spans="4:21" ht="15.75" thickTop="1" x14ac:dyDescent="0.25">
      <c r="P81"/>
      <c r="Q81"/>
      <c r="R81"/>
      <c r="S81"/>
      <c r="T81"/>
      <c r="U81"/>
    </row>
    <row r="82" spans="4:21" x14ac:dyDescent="0.25">
      <c r="D82" t="s">
        <v>240</v>
      </c>
      <c r="E82" s="63">
        <f>E78</f>
        <v>1262501.920502441</v>
      </c>
      <c r="F82" s="63">
        <f t="shared" ref="F82:M82" si="28">F78</f>
        <v>1262501.920502441</v>
      </c>
      <c r="G82" s="63">
        <f t="shared" si="28"/>
        <v>1229713.8585018658</v>
      </c>
      <c r="H82" s="63">
        <f t="shared" si="28"/>
        <v>1286094.4670797531</v>
      </c>
      <c r="I82" s="63">
        <f t="shared" si="28"/>
        <v>1378875.0024513437</v>
      </c>
      <c r="J82" s="63">
        <f t="shared" si="28"/>
        <v>1414647.8403629242</v>
      </c>
      <c r="K82" s="63">
        <f t="shared" si="28"/>
        <v>1485309.5288850139</v>
      </c>
      <c r="L82" s="63">
        <f t="shared" si="28"/>
        <v>1542082.5856822887</v>
      </c>
      <c r="M82" s="63">
        <f t="shared" si="28"/>
        <v>1610837.2766797449</v>
      </c>
      <c r="P82"/>
      <c r="Q82"/>
      <c r="R82"/>
      <c r="S82"/>
      <c r="T82"/>
      <c r="U82"/>
    </row>
    <row r="83" spans="4:21" x14ac:dyDescent="0.25">
      <c r="D83" s="71" t="s">
        <v>358</v>
      </c>
      <c r="E83" s="76">
        <f>-'Balance Sheet NWC (Base)'!J9-'Balance Sheet NWC (Base)'!J10</f>
        <v>-799801.24880920991</v>
      </c>
      <c r="F83" s="76">
        <f>-'Balance Sheet NWC (Base)'!K9-'Balance Sheet NWC (Base)'!K10</f>
        <v>-799801.24880920991</v>
      </c>
      <c r="G83" s="76">
        <f>-'Balance Sheet NWC (Base)'!L9-'Balance Sheet NWC (Base)'!L10</f>
        <v>-778610.22477956908</v>
      </c>
      <c r="H83" s="76">
        <f>-'Balance Sheet NWC (Base)'!M9-'Balance Sheet NWC (Base)'!M10</f>
        <v>-815049.18329925288</v>
      </c>
      <c r="I83" s="76">
        <f>-'Balance Sheet NWC (Base)'!N9-'Balance Sheet NWC (Base)'!N10</f>
        <v>-875013.52503155242</v>
      </c>
      <c r="J83" s="76">
        <f>-'Balance Sheet NWC (Base)'!O9-'Balance Sheet NWC (Base)'!O10</f>
        <v>-898133.6187955403</v>
      </c>
      <c r="K83" s="76">
        <f>-'Balance Sheet NWC (Base)'!P9-'Balance Sheet NWC (Base)'!P10</f>
        <v>-943802.48264666775</v>
      </c>
      <c r="L83" s="76">
        <f>-'Balance Sheet NWC (Base)'!Q9-'Balance Sheet NWC (Base)'!Q10</f>
        <v>-980495.08164218348</v>
      </c>
      <c r="M83" s="76">
        <f>-'Balance Sheet NWC (Base)'!R9-'Balance Sheet NWC (Base)'!R10</f>
        <v>-1024931.447202675</v>
      </c>
      <c r="P83"/>
      <c r="Q83"/>
      <c r="R83"/>
      <c r="S83"/>
      <c r="T83"/>
      <c r="U83"/>
    </row>
    <row r="84" spans="4:21" x14ac:dyDescent="0.25">
      <c r="D84" t="s">
        <v>346</v>
      </c>
      <c r="E84" s="63">
        <f t="shared" ref="E84:M84" si="29">E82+E83</f>
        <v>462700.6716932311</v>
      </c>
      <c r="F84" s="63">
        <f t="shared" si="29"/>
        <v>462700.6716932311</v>
      </c>
      <c r="G84" s="63">
        <f t="shared" si="29"/>
        <v>451103.63372229668</v>
      </c>
      <c r="H84" s="63">
        <f t="shared" si="29"/>
        <v>471045.28378050018</v>
      </c>
      <c r="I84" s="63">
        <f t="shared" si="29"/>
        <v>503861.47741979128</v>
      </c>
      <c r="J84" s="63">
        <f t="shared" si="29"/>
        <v>516514.22156738385</v>
      </c>
      <c r="K84" s="63">
        <f t="shared" si="29"/>
        <v>541507.04623834614</v>
      </c>
      <c r="L84" s="63">
        <f t="shared" si="29"/>
        <v>561587.50404010527</v>
      </c>
      <c r="M84" s="63">
        <f t="shared" si="29"/>
        <v>585905.8294770699</v>
      </c>
      <c r="P84"/>
      <c r="Q84"/>
      <c r="R84"/>
      <c r="S84"/>
      <c r="T84"/>
      <c r="U84"/>
    </row>
    <row r="85" spans="4:21" x14ac:dyDescent="0.25">
      <c r="D85" t="s">
        <v>241</v>
      </c>
      <c r="E85" s="63">
        <f t="shared" ref="E85:M85" si="30">E79</f>
        <v>599585.81881622109</v>
      </c>
      <c r="F85" s="63">
        <f t="shared" si="30"/>
        <v>599585.81881622109</v>
      </c>
      <c r="G85" s="63">
        <f t="shared" si="30"/>
        <v>589166.49581113993</v>
      </c>
      <c r="H85" s="63">
        <f t="shared" si="30"/>
        <v>607083.00981510128</v>
      </c>
      <c r="I85" s="63">
        <f t="shared" si="30"/>
        <v>636566.61780034914</v>
      </c>
      <c r="J85" s="63">
        <f t="shared" si="30"/>
        <v>647934.43676453899</v>
      </c>
      <c r="K85" s="63">
        <f t="shared" si="30"/>
        <v>670389.16302384553</v>
      </c>
      <c r="L85" s="63">
        <f t="shared" si="30"/>
        <v>688430.38841698552</v>
      </c>
      <c r="M85" s="63">
        <f t="shared" si="30"/>
        <v>710279.11291935085</v>
      </c>
      <c r="P85"/>
      <c r="Q85"/>
      <c r="R85"/>
      <c r="S85"/>
      <c r="T85"/>
      <c r="U85"/>
    </row>
    <row r="86" spans="4:21" ht="15.75" thickBot="1" x14ac:dyDescent="0.3">
      <c r="D86" s="6" t="s">
        <v>347</v>
      </c>
      <c r="E86" s="68">
        <f t="shared" ref="E86:M86" si="31">E84/E85</f>
        <v>0.77170049252791517</v>
      </c>
      <c r="F86" s="68">
        <f t="shared" si="31"/>
        <v>0.77170049252791517</v>
      </c>
      <c r="G86" s="68">
        <f t="shared" si="31"/>
        <v>0.76566409822954373</v>
      </c>
      <c r="H86" s="68">
        <f t="shared" si="31"/>
        <v>0.77591577455604632</v>
      </c>
      <c r="I86" s="68">
        <f t="shared" si="31"/>
        <v>0.79152984672818782</v>
      </c>
      <c r="J86" s="68">
        <f t="shared" si="31"/>
        <v>0.79717050408155177</v>
      </c>
      <c r="K86" s="68">
        <f t="shared" si="31"/>
        <v>0.80775029804454779</v>
      </c>
      <c r="L86" s="68">
        <f t="shared" si="31"/>
        <v>0.8157506023687453</v>
      </c>
      <c r="M86" s="68">
        <f t="shared" si="31"/>
        <v>0.82489519798619926</v>
      </c>
      <c r="P86"/>
      <c r="Q86"/>
      <c r="R86"/>
      <c r="S86"/>
      <c r="T86"/>
      <c r="U86"/>
    </row>
    <row r="87" spans="4:21" ht="15.75" thickTop="1" x14ac:dyDescent="0.25">
      <c r="P87" s="210"/>
    </row>
  </sheetData>
  <mergeCells count="2">
    <mergeCell ref="D46:M46"/>
    <mergeCell ref="D3:M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2157-84A2-49E7-A06A-1FFDE18455B9}">
  <sheetPr>
    <tabColor theme="6" tint="0.79998168889431442"/>
  </sheetPr>
  <dimension ref="B1:T118"/>
  <sheetViews>
    <sheetView showGridLines="0" zoomScale="70" zoomScaleNormal="70" workbookViewId="0">
      <selection activeCell="C1" sqref="C1"/>
    </sheetView>
  </sheetViews>
  <sheetFormatPr defaultRowHeight="15.75" x14ac:dyDescent="0.25"/>
  <cols>
    <col min="1" max="1" width="2.7109375" style="31" customWidth="1"/>
    <col min="2" max="2" width="36.5703125" style="31" bestFit="1" customWidth="1"/>
    <col min="3" max="18" width="16.5703125" style="31" customWidth="1"/>
    <col min="19" max="19" width="14.5703125" style="31" bestFit="1" customWidth="1"/>
    <col min="20" max="20" width="14" style="31" bestFit="1" customWidth="1"/>
    <col min="21" max="16384" width="9.140625" style="31"/>
  </cols>
  <sheetData>
    <row r="1" spans="2:19" s="82" customFormat="1" x14ac:dyDescent="0.25">
      <c r="C1" s="82" t="s">
        <v>333</v>
      </c>
      <c r="D1" s="82" t="s">
        <v>333</v>
      </c>
      <c r="E1" s="82" t="s">
        <v>333</v>
      </c>
      <c r="F1" s="82" t="s">
        <v>333</v>
      </c>
      <c r="G1" s="82" t="s">
        <v>333</v>
      </c>
      <c r="H1" s="82" t="s">
        <v>333</v>
      </c>
      <c r="I1" s="82" t="s">
        <v>333</v>
      </c>
      <c r="J1" s="82" t="s">
        <v>334</v>
      </c>
      <c r="K1" s="82" t="s">
        <v>334</v>
      </c>
      <c r="L1" s="82" t="s">
        <v>334</v>
      </c>
      <c r="M1" s="82" t="s">
        <v>334</v>
      </c>
      <c r="N1" s="82" t="s">
        <v>334</v>
      </c>
      <c r="O1" s="82" t="s">
        <v>334</v>
      </c>
      <c r="P1" s="82" t="s">
        <v>334</v>
      </c>
      <c r="Q1" s="82" t="s">
        <v>334</v>
      </c>
      <c r="R1" s="82" t="s">
        <v>334</v>
      </c>
    </row>
    <row r="2" spans="2:19" x14ac:dyDescent="0.25">
      <c r="B2" s="29" t="s">
        <v>263</v>
      </c>
      <c r="C2" s="30">
        <v>44196</v>
      </c>
      <c r="D2" s="30">
        <f>EOMONTH(C2,12)</f>
        <v>44561</v>
      </c>
      <c r="E2" s="30">
        <f>EOMONTH(D2,12)</f>
        <v>44926</v>
      </c>
      <c r="F2" s="30">
        <f>EOMONTH(E2,12)</f>
        <v>45291</v>
      </c>
      <c r="G2" s="30" t="s">
        <v>214</v>
      </c>
      <c r="H2" s="30" t="s">
        <v>215</v>
      </c>
      <c r="I2" s="30" t="s">
        <v>216</v>
      </c>
      <c r="J2" s="30" t="s">
        <v>297</v>
      </c>
      <c r="K2" s="30">
        <f>EOMONTH(F2,12)</f>
        <v>45657</v>
      </c>
      <c r="L2" s="30">
        <f>EOMONTH(K2,12)</f>
        <v>46022</v>
      </c>
      <c r="M2" s="30">
        <f t="shared" ref="M2:R2" si="0">EOMONTH(L2,12)</f>
        <v>46387</v>
      </c>
      <c r="N2" s="30">
        <f t="shared" si="0"/>
        <v>46752</v>
      </c>
      <c r="O2" s="30">
        <f t="shared" si="0"/>
        <v>47118</v>
      </c>
      <c r="P2" s="30">
        <f t="shared" si="0"/>
        <v>47483</v>
      </c>
      <c r="Q2" s="30">
        <f t="shared" si="0"/>
        <v>47848</v>
      </c>
      <c r="R2" s="30">
        <f t="shared" si="0"/>
        <v>48213</v>
      </c>
    </row>
    <row r="3" spans="2:19" hidden="1" x14ac:dyDescent="0.25"/>
    <row r="4" spans="2:19" hidden="1" x14ac:dyDescent="0.25">
      <c r="B4" s="32" t="s">
        <v>303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2:19" hidden="1" x14ac:dyDescent="0.25">
      <c r="B5" s="34" t="s">
        <v>264</v>
      </c>
      <c r="D5" s="35"/>
      <c r="E5" s="35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</row>
    <row r="6" spans="2:19" hidden="1" x14ac:dyDescent="0.25"/>
    <row r="7" spans="2:19" hidden="1" x14ac:dyDescent="0.25">
      <c r="B7" s="32" t="s">
        <v>304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</row>
    <row r="9" spans="2:19" x14ac:dyDescent="0.25">
      <c r="B9" s="32" t="s">
        <v>0</v>
      </c>
      <c r="C9" s="50">
        <f>C43</f>
        <v>3192399</v>
      </c>
      <c r="D9" s="50">
        <f t="shared" ref="D9:I9" si="1">D43</f>
        <v>3243224</v>
      </c>
      <c r="E9" s="50">
        <f t="shared" si="1"/>
        <v>3691893</v>
      </c>
      <c r="F9" s="50">
        <f t="shared" si="1"/>
        <v>4009282</v>
      </c>
      <c r="G9" s="50">
        <f t="shared" si="1"/>
        <v>953969</v>
      </c>
      <c r="H9" s="50">
        <f t="shared" si="1"/>
        <v>935348</v>
      </c>
      <c r="I9" s="50">
        <f t="shared" si="1"/>
        <v>979350</v>
      </c>
      <c r="J9" s="50">
        <f>K9-I9-H9-G9</f>
        <v>952178.74599999981</v>
      </c>
      <c r="K9" s="50">
        <f>F9*(1+K10)</f>
        <v>3820845.7459999998</v>
      </c>
      <c r="L9" s="50">
        <f>K9*(1+L10)</f>
        <v>3800977.3481207998</v>
      </c>
      <c r="M9" s="50">
        <f t="shared" ref="M9:R9" si="2">L9*(1+M10)</f>
        <v>3978863.0880128532</v>
      </c>
      <c r="N9" s="50">
        <f t="shared" si="2"/>
        <v>4240672.2792040994</v>
      </c>
      <c r="O9" s="50">
        <f t="shared" si="2"/>
        <v>4373829.3887711084</v>
      </c>
      <c r="P9" s="50">
        <f>O9*(1+P10)</f>
        <v>4592520.858209664</v>
      </c>
      <c r="Q9" s="50">
        <f t="shared" si="2"/>
        <v>4765934.445815661</v>
      </c>
      <c r="R9" s="50">
        <f t="shared" si="2"/>
        <v>4986845.0392481079</v>
      </c>
    </row>
    <row r="10" spans="2:19" x14ac:dyDescent="0.25">
      <c r="B10" s="34" t="s">
        <v>264</v>
      </c>
      <c r="D10" s="35">
        <f>D9/C9-1</f>
        <v>1.592062896899793E-2</v>
      </c>
      <c r="E10" s="35">
        <f>E9/D9-1</f>
        <v>0.13834042915321287</v>
      </c>
      <c r="F10" s="35">
        <f>F9/E9-1</f>
        <v>8.5969176246440515E-2</v>
      </c>
      <c r="G10" s="35"/>
      <c r="H10" s="35">
        <f>H9/G9-1</f>
        <v>-1.951950220604648E-2</v>
      </c>
      <c r="I10" s="35">
        <f>I9/H9-1</f>
        <v>4.7043453345706698E-2</v>
      </c>
      <c r="J10" s="65">
        <f>J9/I9-1</f>
        <v>-2.7744171133915585E-2</v>
      </c>
      <c r="K10" s="51">
        <v>-4.7E-2</v>
      </c>
      <c r="L10" s="51">
        <v>-5.1999999999999998E-3</v>
      </c>
      <c r="M10" s="51">
        <v>4.6800000000000001E-2</v>
      </c>
      <c r="N10" s="51">
        <v>6.5799999999999997E-2</v>
      </c>
      <c r="O10" s="51">
        <v>3.1399999999999997E-2</v>
      </c>
      <c r="P10" s="51">
        <v>0.05</v>
      </c>
      <c r="Q10" s="65">
        <f>AVERAGE(L10:P10)</f>
        <v>3.7759999999999995E-2</v>
      </c>
      <c r="R10" s="65">
        <f>AVERAGE(M10:Q10)</f>
        <v>4.6351999999999997E-2</v>
      </c>
      <c r="S10" s="85"/>
    </row>
    <row r="11" spans="2:19" x14ac:dyDescent="0.25">
      <c r="S11" s="85"/>
    </row>
    <row r="12" spans="2:19" x14ac:dyDescent="0.25">
      <c r="B12" s="32" t="s">
        <v>301</v>
      </c>
      <c r="C12" s="37">
        <f>-C46/C43</f>
        <v>0.57921237288947902</v>
      </c>
      <c r="D12" s="37">
        <f t="shared" ref="D12:I13" si="3">-D46/D43</f>
        <v>0.58883043539391666</v>
      </c>
      <c r="E12" s="37">
        <f t="shared" si="3"/>
        <v>0.57792709593696245</v>
      </c>
      <c r="F12" s="37">
        <f t="shared" si="3"/>
        <v>0.59020966846432854</v>
      </c>
      <c r="G12" s="37">
        <f t="shared" si="3"/>
        <v>0.58791428232992893</v>
      </c>
      <c r="H12" s="37">
        <f t="shared" si="3"/>
        <v>0.58452789763809831</v>
      </c>
      <c r="I12" s="37">
        <f t="shared" si="3"/>
        <v>0.59110940930208811</v>
      </c>
      <c r="J12" s="35">
        <f t="shared" ref="J12:J16" si="4">AVERAGE(G12:I12)</f>
        <v>0.58785052975670515</v>
      </c>
      <c r="K12" s="35">
        <f t="shared" ref="K12" si="5">-K46/K43</f>
        <v>0.58788837068618349</v>
      </c>
      <c r="L12" s="35">
        <f>AVERAGE(C12:F12,K12)</f>
        <v>0.5848135886741741</v>
      </c>
      <c r="M12" s="35">
        <f>AVERAGE(K12:L12,D12:F12)</f>
        <v>0.58593383183111303</v>
      </c>
      <c r="N12" s="35">
        <f>AVERAGE(K12:M12,E12:F12)</f>
        <v>0.5853545111185523</v>
      </c>
      <c r="O12" s="35">
        <f>AVERAGE(K12:N12,F12)</f>
        <v>0.58683999415487031</v>
      </c>
      <c r="P12" s="35">
        <f>AVERAGE(K12:O12)</f>
        <v>0.58616605929297871</v>
      </c>
      <c r="Q12" s="35">
        <f t="shared" ref="Q12:R18" si="6">AVERAGE(L12:P12)</f>
        <v>0.58582159701433767</v>
      </c>
      <c r="R12" s="35">
        <f t="shared" si="6"/>
        <v>0.58602319868237041</v>
      </c>
    </row>
    <row r="13" spans="2:19" x14ac:dyDescent="0.25">
      <c r="B13" s="32" t="s">
        <v>265</v>
      </c>
      <c r="C13" s="37">
        <f>-C47/C44</f>
        <v>0.30558617516168873</v>
      </c>
      <c r="D13" s="37">
        <f t="shared" si="3"/>
        <v>0.30662945266808583</v>
      </c>
      <c r="E13" s="37">
        <f t="shared" si="3"/>
        <v>0.29357893091701193</v>
      </c>
      <c r="F13" s="37">
        <f t="shared" si="3"/>
        <v>0.28715740125039846</v>
      </c>
      <c r="G13" s="37">
        <f t="shared" si="3"/>
        <v>0.3046566502685098</v>
      </c>
      <c r="H13" s="37">
        <f t="shared" si="3"/>
        <v>0.31136539555331277</v>
      </c>
      <c r="I13" s="37">
        <f t="shared" si="3"/>
        <v>0.29508449481799154</v>
      </c>
      <c r="J13" s="35">
        <f t="shared" si="4"/>
        <v>0.30370218021327139</v>
      </c>
      <c r="K13" s="35">
        <f t="shared" ref="K13" si="7">-K47/K44</f>
        <v>0.3036075880130385</v>
      </c>
      <c r="L13" s="35">
        <f t="shared" ref="L13:L24" si="8">AVERAGE(C13:F13,K13)</f>
        <v>0.29931190960204468</v>
      </c>
      <c r="M13" s="35">
        <f t="shared" ref="M13:M24" si="9">AVERAGE(K13:L13,D13:F13)</f>
        <v>0.29805705649011588</v>
      </c>
      <c r="N13" s="35">
        <f t="shared" ref="N13:N24" si="10">AVERAGE(K13:M13,E13:F13)</f>
        <v>0.2963425772545219</v>
      </c>
      <c r="O13" s="35">
        <f t="shared" ref="O13:O24" si="11">AVERAGE(K13:N13,F13)</f>
        <v>0.29689530652202389</v>
      </c>
      <c r="P13" s="35">
        <f>AVERAGE(K13:O13)</f>
        <v>0.29884288757634897</v>
      </c>
      <c r="Q13" s="35">
        <f t="shared" si="6"/>
        <v>0.29788994748901104</v>
      </c>
      <c r="R13" s="35">
        <f t="shared" si="6"/>
        <v>0.29760555506640435</v>
      </c>
    </row>
    <row r="14" spans="2:19" x14ac:dyDescent="0.25">
      <c r="B14" s="32" t="s">
        <v>306</v>
      </c>
      <c r="C14" s="37">
        <f>-C48/C43</f>
        <v>0</v>
      </c>
      <c r="D14" s="37">
        <f t="shared" ref="D14:I14" si="12">-D48/D43</f>
        <v>1.8148607681738912E-3</v>
      </c>
      <c r="E14" s="37">
        <f t="shared" si="12"/>
        <v>0</v>
      </c>
      <c r="F14" s="37">
        <f t="shared" si="12"/>
        <v>0</v>
      </c>
      <c r="G14" s="37">
        <f t="shared" si="12"/>
        <v>0</v>
      </c>
      <c r="H14" s="37">
        <f t="shared" si="12"/>
        <v>0</v>
      </c>
      <c r="I14" s="37">
        <f t="shared" si="12"/>
        <v>0</v>
      </c>
      <c r="J14" s="35">
        <f t="shared" si="4"/>
        <v>0</v>
      </c>
      <c r="K14" s="35">
        <f t="shared" ref="K14" si="13">-K48/K43</f>
        <v>0</v>
      </c>
      <c r="L14" s="35">
        <f t="shared" si="8"/>
        <v>3.6297215363477822E-4</v>
      </c>
      <c r="M14" s="35">
        <f t="shared" si="9"/>
        <v>4.3556658436173388E-4</v>
      </c>
      <c r="N14" s="35">
        <f t="shared" si="10"/>
        <v>1.5970774759930243E-4</v>
      </c>
      <c r="O14" s="35">
        <f t="shared" si="11"/>
        <v>1.9164929711916289E-4</v>
      </c>
      <c r="P14" s="35">
        <f>AVERAGE(K14:O14)</f>
        <v>2.2997915654299547E-4</v>
      </c>
      <c r="Q14" s="35">
        <f t="shared" si="6"/>
        <v>2.7597498785159459E-4</v>
      </c>
      <c r="R14" s="35">
        <f t="shared" si="6"/>
        <v>2.5857555469495786E-4</v>
      </c>
    </row>
    <row r="15" spans="2:19" x14ac:dyDescent="0.25">
      <c r="B15" s="32" t="s">
        <v>305</v>
      </c>
      <c r="C15" s="37">
        <f>C49/C46</f>
        <v>9.2094596385115385E-3</v>
      </c>
      <c r="D15" s="37">
        <f t="shared" ref="D15:I15" si="14">D49/D46</f>
        <v>1.6438106538744907E-2</v>
      </c>
      <c r="E15" s="37">
        <f t="shared" si="14"/>
        <v>7.4075115588581979E-3</v>
      </c>
      <c r="F15" s="37">
        <f t="shared" si="14"/>
        <v>3.3541575367966336E-3</v>
      </c>
      <c r="G15" s="37">
        <f t="shared" si="14"/>
        <v>1.6332294437748282E-3</v>
      </c>
      <c r="H15" s="37">
        <f t="shared" si="14"/>
        <v>1.1305252799792222E-2</v>
      </c>
      <c r="I15" s="37">
        <f t="shared" si="14"/>
        <v>8.1015299627053231E-3</v>
      </c>
      <c r="J15" s="35">
        <f>AVERAGE(G15:I15)</f>
        <v>7.01333740209079E-3</v>
      </c>
      <c r="K15" s="35">
        <f t="shared" ref="K15" si="15">K49/K46</f>
        <v>8.2204157182224954E-3</v>
      </c>
      <c r="L15" s="35">
        <f t="shared" si="8"/>
        <v>8.9259301982267548E-3</v>
      </c>
      <c r="M15" s="35">
        <f t="shared" si="9"/>
        <v>8.869224310169798E-3</v>
      </c>
      <c r="N15" s="35">
        <f t="shared" si="10"/>
        <v>7.3554478644547753E-3</v>
      </c>
      <c r="O15" s="35">
        <f t="shared" si="11"/>
        <v>7.3450351255740908E-3</v>
      </c>
      <c r="P15" s="35">
        <f>AVERAGE(K15:O15)</f>
        <v>8.1432106433295837E-3</v>
      </c>
      <c r="Q15" s="35">
        <f t="shared" si="6"/>
        <v>8.1277696283509997E-3</v>
      </c>
      <c r="R15" s="35">
        <f t="shared" si="6"/>
        <v>7.9681375143758511E-3</v>
      </c>
    </row>
    <row r="16" spans="2:19" x14ac:dyDescent="0.25">
      <c r="B16" s="32" t="s">
        <v>307</v>
      </c>
      <c r="C16" s="37">
        <f>-C50/C43</f>
        <v>0</v>
      </c>
      <c r="D16" s="37">
        <f t="shared" ref="D16:I16" si="16">-D50/D43</f>
        <v>0</v>
      </c>
      <c r="E16" s="37">
        <f t="shared" si="16"/>
        <v>-2.7443915628107317E-3</v>
      </c>
      <c r="F16" s="37">
        <f t="shared" si="16"/>
        <v>0</v>
      </c>
      <c r="G16" s="37">
        <f t="shared" si="16"/>
        <v>0</v>
      </c>
      <c r="H16" s="37">
        <f t="shared" si="16"/>
        <v>0</v>
      </c>
      <c r="I16" s="37">
        <f t="shared" si="16"/>
        <v>0</v>
      </c>
      <c r="J16" s="35">
        <f t="shared" si="4"/>
        <v>0</v>
      </c>
      <c r="K16" s="35">
        <f t="shared" ref="K16" si="17">-K50/K43</f>
        <v>0</v>
      </c>
      <c r="L16" s="35">
        <f t="shared" si="8"/>
        <v>-5.4887831256214634E-4</v>
      </c>
      <c r="M16" s="35">
        <f t="shared" si="9"/>
        <v>-6.5865397507457559E-4</v>
      </c>
      <c r="N16" s="35">
        <f t="shared" si="10"/>
        <v>-7.9038477008949064E-4</v>
      </c>
      <c r="O16" s="35">
        <f t="shared" si="11"/>
        <v>-3.9958341154524256E-4</v>
      </c>
      <c r="P16" s="35">
        <f>AVERAGE(K16:O16)</f>
        <v>-4.7950009385429109E-4</v>
      </c>
      <c r="Q16" s="35">
        <f t="shared" si="6"/>
        <v>-5.7540011262514922E-4</v>
      </c>
      <c r="R16" s="35">
        <f t="shared" si="6"/>
        <v>-5.8070447263774993E-4</v>
      </c>
    </row>
    <row r="17" spans="2:19" x14ac:dyDescent="0.25">
      <c r="B17" s="32" t="s">
        <v>354</v>
      </c>
      <c r="C17" s="37">
        <f t="shared" ref="C17:I17" si="18">C54/C43</f>
        <v>-5.1184078180703599E-3</v>
      </c>
      <c r="D17" s="37">
        <f t="shared" si="18"/>
        <v>-4.4535930913190084E-3</v>
      </c>
      <c r="E17" s="37">
        <f t="shared" si="18"/>
        <v>-4.7263016560880828E-3</v>
      </c>
      <c r="F17" s="37">
        <f t="shared" si="18"/>
        <v>-5.364800979327471E-3</v>
      </c>
      <c r="G17" s="37">
        <f t="shared" si="18"/>
        <v>-5.4456696181951402E-3</v>
      </c>
      <c r="H17" s="37">
        <f t="shared" si="18"/>
        <v>-7.3854864713454246E-3</v>
      </c>
      <c r="I17" s="37">
        <f t="shared" si="18"/>
        <v>-6.8923265431153312E-3</v>
      </c>
      <c r="J17" s="35">
        <f>AVERAGE(G17:I17)</f>
        <v>-6.574494210885299E-3</v>
      </c>
      <c r="K17" s="35">
        <f>K54/K43</f>
        <v>-6.5726531042494029E-3</v>
      </c>
      <c r="L17" s="35">
        <f t="shared" ref="L17" si="19">AVERAGE(C17:F17,K17)</f>
        <v>-5.2471513298108655E-3</v>
      </c>
      <c r="M17" s="35">
        <f t="shared" ref="M17" si="20">AVERAGE(K17:L17,D17:F17)</f>
        <v>-5.2729000321589652E-3</v>
      </c>
      <c r="N17" s="35">
        <f t="shared" ref="N17" si="21">AVERAGE(K17:M17,E17:F17)</f>
        <v>-5.4367614203269573E-3</v>
      </c>
      <c r="O17" s="35">
        <f t="shared" ref="O17" si="22">AVERAGE(K17:N17,F17)</f>
        <v>-5.5788533731747315E-3</v>
      </c>
      <c r="P17" s="35">
        <f t="shared" ref="P17" si="23">AVERAGE(K17:O17)</f>
        <v>-5.6216638519441843E-3</v>
      </c>
      <c r="Q17" s="35">
        <f t="shared" ref="Q17" si="24">AVERAGE(L17:P17)</f>
        <v>-5.4314660014831411E-3</v>
      </c>
      <c r="R17" s="35">
        <f t="shared" ref="R17" si="25">AVERAGE(M17:Q17)</f>
        <v>-5.4683289358175959E-3</v>
      </c>
    </row>
    <row r="18" spans="2:19" x14ac:dyDescent="0.25">
      <c r="B18" s="32" t="s">
        <v>266</v>
      </c>
      <c r="C18" s="37">
        <f>-C58/C56</f>
        <v>0.24679730740463723</v>
      </c>
      <c r="D18" s="37">
        <f t="shared" ref="D18:I18" si="26">-D58/D56</f>
        <v>0.24426882678697132</v>
      </c>
      <c r="E18" s="37">
        <f t="shared" si="26"/>
        <v>0.245271893813784</v>
      </c>
      <c r="F18" s="37">
        <f t="shared" si="26"/>
        <v>0.24782968984294845</v>
      </c>
      <c r="G18" s="37">
        <f t="shared" si="26"/>
        <v>0.2429969994962658</v>
      </c>
      <c r="H18" s="37">
        <f t="shared" si="26"/>
        <v>0.23000437746232255</v>
      </c>
      <c r="I18" s="37">
        <f t="shared" si="26"/>
        <v>0.25199295124611898</v>
      </c>
      <c r="J18" s="35">
        <f>AVERAGE(G18:I18)</f>
        <v>0.24166477606823578</v>
      </c>
      <c r="K18" s="35">
        <f>-K58/K56</f>
        <v>0.24215878941334376</v>
      </c>
      <c r="L18" s="35">
        <f t="shared" si="8"/>
        <v>0.24526530145233694</v>
      </c>
      <c r="M18" s="35">
        <f t="shared" si="9"/>
        <v>0.24495890026187692</v>
      </c>
      <c r="N18" s="35">
        <f t="shared" si="10"/>
        <v>0.24509691495685804</v>
      </c>
      <c r="O18" s="35">
        <f t="shared" si="11"/>
        <v>0.24506191918547282</v>
      </c>
      <c r="P18" s="35">
        <f>AVERAGE(K18:O18)</f>
        <v>0.24450836505397772</v>
      </c>
      <c r="Q18" s="35">
        <f t="shared" si="6"/>
        <v>0.24497828018210449</v>
      </c>
      <c r="R18" s="35">
        <f t="shared" si="6"/>
        <v>0.24492087592805803</v>
      </c>
    </row>
    <row r="19" spans="2:19" x14ac:dyDescent="0.25">
      <c r="B19" s="32" t="s">
        <v>367</v>
      </c>
      <c r="C19" s="37">
        <f>C61/C60</f>
        <v>2.5460958539549887E-3</v>
      </c>
      <c r="D19" s="37">
        <f t="shared" ref="D19:K19" si="27">D61/D60</f>
        <v>4.7261364522774929E-3</v>
      </c>
      <c r="E19" s="37">
        <f t="shared" si="27"/>
        <v>2.0441609248065978E-3</v>
      </c>
      <c r="F19" s="37">
        <f t="shared" si="27"/>
        <v>-3.6723237940350969E-4</v>
      </c>
      <c r="G19" s="37">
        <f t="shared" si="27"/>
        <v>-3.2114338618215482E-3</v>
      </c>
      <c r="H19" s="37">
        <f t="shared" si="27"/>
        <v>-4.5805246487452284E-3</v>
      </c>
      <c r="I19" s="37">
        <f t="shared" si="27"/>
        <v>-5.5109939421135292E-3</v>
      </c>
      <c r="J19" s="35">
        <f>AVERAGE(G19:I19)</f>
        <v>-4.434317484226769E-3</v>
      </c>
      <c r="K19" s="193">
        <f t="shared" si="27"/>
        <v>-2.5060834385860894E-3</v>
      </c>
      <c r="L19" s="193">
        <f t="shared" ref="L19" si="28">AVERAGE(C19:F19,K19)</f>
        <v>1.2886154826098962E-3</v>
      </c>
      <c r="M19" s="193">
        <f t="shared" ref="M19" si="29">AVERAGE(K19:L19,D19:F19)</f>
        <v>1.0371194083408776E-3</v>
      </c>
      <c r="N19" s="193">
        <f t="shared" ref="N19" si="30">AVERAGE(K19:M19,E19:F19)</f>
        <v>2.9931599955355449E-4</v>
      </c>
      <c r="O19" s="193">
        <f t="shared" ref="O19" si="31">AVERAGE(K19:N19,F19)</f>
        <v>-4.9652985497054173E-5</v>
      </c>
      <c r="P19" s="193">
        <f>AVERAGE(K19:O19)</f>
        <v>1.3862893284236928E-5</v>
      </c>
      <c r="Q19" s="193">
        <f t="shared" ref="Q19" si="32">AVERAGE(L19:P19)</f>
        <v>5.1785215965830216E-4</v>
      </c>
      <c r="R19" s="193">
        <f t="shared" ref="R19" si="33">AVERAGE(M19:Q19)</f>
        <v>3.6369949506798334E-4</v>
      </c>
    </row>
    <row r="20" spans="2:19" x14ac:dyDescent="0.25">
      <c r="D20" s="52"/>
      <c r="E20" s="52"/>
      <c r="F20" s="52"/>
      <c r="G20" s="52"/>
      <c r="H20" s="52"/>
      <c r="I20" s="52"/>
      <c r="M20" s="35"/>
      <c r="N20" s="35"/>
      <c r="O20" s="35"/>
      <c r="P20" s="35"/>
      <c r="Q20" s="35"/>
      <c r="R20" s="35"/>
    </row>
    <row r="21" spans="2:19" x14ac:dyDescent="0.25">
      <c r="B21" s="32" t="s">
        <v>353</v>
      </c>
      <c r="C21" s="37">
        <f>C69/C44</f>
        <v>0.25876276743602539</v>
      </c>
      <c r="D21" s="37">
        <f>D69/D44</f>
        <v>0.28188432251364692</v>
      </c>
      <c r="E21" s="37">
        <f>E69/E44</f>
        <v>0.29790191644232378</v>
      </c>
      <c r="F21" s="37">
        <f>F69/F44</f>
        <v>0.21149921606911162</v>
      </c>
      <c r="G21" s="37">
        <f>G69/G44/4</f>
        <v>0.22572824693464882</v>
      </c>
      <c r="H21" s="37">
        <f>H69/H44/4</f>
        <v>0.23255649234295683</v>
      </c>
      <c r="I21" s="37">
        <f>I69/I44/4</f>
        <v>0.20670419155562364</v>
      </c>
      <c r="J21" s="35">
        <f>AVERAGE(G21:I21)</f>
        <v>0.22166297694440976</v>
      </c>
      <c r="K21" s="35">
        <f>K69/K44</f>
        <v>0.22095922154671035</v>
      </c>
      <c r="L21" s="35">
        <f>AVERAGE(F21,K21)</f>
        <v>0.21622921880791099</v>
      </c>
      <c r="M21" s="35">
        <f>AVERAGE(K21,L21,F21)</f>
        <v>0.21622921880791099</v>
      </c>
      <c r="N21" s="35">
        <f>AVERAGE(L21,M21,K21)</f>
        <v>0.21780588638751078</v>
      </c>
      <c r="O21" s="35">
        <f t="shared" ref="O21:R21" si="34">AVERAGE(M21,N21,L21)</f>
        <v>0.21675477466777759</v>
      </c>
      <c r="P21" s="35">
        <f t="shared" si="34"/>
        <v>0.21692995995439979</v>
      </c>
      <c r="Q21" s="35">
        <f t="shared" si="34"/>
        <v>0.21716354033656271</v>
      </c>
      <c r="R21" s="35">
        <f t="shared" si="34"/>
        <v>0.2169494249862467</v>
      </c>
    </row>
    <row r="22" spans="2:19" x14ac:dyDescent="0.25">
      <c r="B22" s="32" t="s">
        <v>267</v>
      </c>
      <c r="C22" s="37">
        <f t="shared" ref="C22:I22" si="35">-C101/C44</f>
        <v>1.4719651271661218E-2</v>
      </c>
      <c r="D22" s="37">
        <f t="shared" si="35"/>
        <v>1.6571781659237846E-2</v>
      </c>
      <c r="E22" s="37">
        <f t="shared" si="35"/>
        <v>1.6623721218356004E-2</v>
      </c>
      <c r="F22" s="37">
        <f t="shared" si="35"/>
        <v>2.3069716722345798E-2</v>
      </c>
      <c r="G22" s="37">
        <f t="shared" si="35"/>
        <v>1.9322430812741296E-2</v>
      </c>
      <c r="H22" s="37">
        <f t="shared" si="35"/>
        <v>2.7102212224754851E-2</v>
      </c>
      <c r="I22" s="37">
        <f t="shared" si="35"/>
        <v>3.0194516771327923E-2</v>
      </c>
      <c r="J22" s="35">
        <f>AVERAGE(G22:I22)</f>
        <v>2.5539719936274689E-2</v>
      </c>
      <c r="K22" s="35">
        <f>-K101/K44</f>
        <v>2.5563025831222139E-2</v>
      </c>
      <c r="L22" s="35">
        <f t="shared" si="8"/>
        <v>1.9309579340564601E-2</v>
      </c>
      <c r="M22" s="35">
        <f>AVERAGE(K22:L22,D22:F22)</f>
        <v>2.022756495434528E-2</v>
      </c>
      <c r="N22" s="35">
        <f t="shared" si="10"/>
        <v>2.0958721613366767E-2</v>
      </c>
      <c r="O22" s="35">
        <f t="shared" si="11"/>
        <v>2.1825721692368918E-2</v>
      </c>
      <c r="P22" s="35">
        <f>AVERAGE(K22:O22)</f>
        <v>2.1576922686373543E-2</v>
      </c>
      <c r="Q22" s="35">
        <f>AVERAGE(L22:P22)</f>
        <v>2.0779702057403822E-2</v>
      </c>
      <c r="R22" s="35">
        <f>AVERAGE(M22:Q22)</f>
        <v>2.1073726600771663E-2</v>
      </c>
    </row>
    <row r="23" spans="2:19" x14ac:dyDescent="0.25">
      <c r="B23" s="32" t="s">
        <v>268</v>
      </c>
      <c r="C23" s="37">
        <f t="shared" ref="C23:I23" si="36">C94/C44</f>
        <v>2.1638585903579095E-2</v>
      </c>
      <c r="D23" s="37">
        <f t="shared" si="36"/>
        <v>2.1227642617346196E-2</v>
      </c>
      <c r="E23" s="37">
        <f t="shared" si="36"/>
        <v>1.9062307602089226E-2</v>
      </c>
      <c r="F23" s="37">
        <f t="shared" si="36"/>
        <v>1.8738766691891465E-2</v>
      </c>
      <c r="G23" s="37">
        <f t="shared" si="36"/>
        <v>2.0736522884915547E-2</v>
      </c>
      <c r="H23" s="37">
        <f t="shared" si="36"/>
        <v>2.2764789147996255E-2</v>
      </c>
      <c r="I23" s="37">
        <f t="shared" si="36"/>
        <v>2.1085413794863939E-2</v>
      </c>
      <c r="J23" s="35">
        <f>AVERAGE(G23:I23)</f>
        <v>2.1528908609258577E-2</v>
      </c>
      <c r="K23" s="35">
        <f>K94/K44</f>
        <v>2.1519939476329866E-2</v>
      </c>
      <c r="L23" s="35">
        <f t="shared" si="8"/>
        <v>2.043744845824717E-2</v>
      </c>
      <c r="M23" s="35">
        <f t="shared" si="9"/>
        <v>2.0197220969180786E-2</v>
      </c>
      <c r="N23" s="35">
        <f t="shared" si="10"/>
        <v>1.9991136639547706E-2</v>
      </c>
      <c r="O23" s="35">
        <f t="shared" si="11"/>
        <v>2.0176902447039399E-2</v>
      </c>
      <c r="P23" s="35">
        <f t="shared" ref="P23:R24" si="37">AVERAGE(K23:O23)</f>
        <v>2.0464529598068985E-2</v>
      </c>
      <c r="Q23" s="35">
        <f t="shared" si="37"/>
        <v>2.025344762241681E-2</v>
      </c>
      <c r="R23" s="35">
        <f t="shared" si="37"/>
        <v>2.0216647455250737E-2</v>
      </c>
    </row>
    <row r="24" spans="2:19" x14ac:dyDescent="0.25">
      <c r="B24" s="32" t="s">
        <v>351</v>
      </c>
      <c r="C24" s="37">
        <f t="shared" ref="C24:I24" si="38">C97/C44</f>
        <v>1.142119139869421E-2</v>
      </c>
      <c r="D24" s="37">
        <f t="shared" si="38"/>
        <v>3.9633401824850827E-3</v>
      </c>
      <c r="E24" s="37">
        <f t="shared" si="38"/>
        <v>8.0557589290913903E-3</v>
      </c>
      <c r="F24" s="37">
        <f t="shared" si="38"/>
        <v>9.0470064215986811E-3</v>
      </c>
      <c r="G24" s="37">
        <f t="shared" si="38"/>
        <v>5.8796459843034731E-3</v>
      </c>
      <c r="H24" s="37">
        <f t="shared" si="38"/>
        <v>1.0830193681923732E-3</v>
      </c>
      <c r="I24" s="37">
        <f t="shared" si="38"/>
        <v>-5.4158370347679582E-3</v>
      </c>
      <c r="J24" s="35">
        <f>AVERAGE(G24:I24)</f>
        <v>5.1560943924262945E-4</v>
      </c>
      <c r="K24" s="35">
        <f>K97/K44</f>
        <v>4.7344291540101608E-4</v>
      </c>
      <c r="L24" s="35">
        <f t="shared" si="8"/>
        <v>6.5921479694540765E-3</v>
      </c>
      <c r="M24" s="35">
        <f t="shared" si="9"/>
        <v>5.6263392836060494E-3</v>
      </c>
      <c r="N24" s="35">
        <f t="shared" si="10"/>
        <v>5.958939103830242E-3</v>
      </c>
      <c r="O24" s="35">
        <f t="shared" si="11"/>
        <v>5.5395751387780131E-3</v>
      </c>
      <c r="P24" s="35">
        <f t="shared" si="37"/>
        <v>4.83808888221388E-3</v>
      </c>
      <c r="Q24" s="35">
        <f t="shared" si="37"/>
        <v>5.7110180755764522E-3</v>
      </c>
      <c r="R24" s="35">
        <f t="shared" si="37"/>
        <v>5.5347920968009268E-3</v>
      </c>
    </row>
    <row r="25" spans="2:19" x14ac:dyDescent="0.25">
      <c r="B25" s="32" t="s">
        <v>365</v>
      </c>
      <c r="C25" s="192">
        <f t="shared" ref="C25:K25" si="39">-C102/C43</f>
        <v>7.1607590404582891E-4</v>
      </c>
      <c r="D25" s="192">
        <f t="shared" si="39"/>
        <v>6.7833735813499158E-3</v>
      </c>
      <c r="E25" s="192">
        <f t="shared" si="39"/>
        <v>8.971007556286166E-3</v>
      </c>
      <c r="F25" s="192">
        <f t="shared" si="39"/>
        <v>5.0338190229572274E-3</v>
      </c>
      <c r="G25" s="192">
        <f t="shared" si="39"/>
        <v>0</v>
      </c>
      <c r="H25" s="192">
        <f t="shared" si="39"/>
        <v>1.0550084032894709E-2</v>
      </c>
      <c r="I25" s="192">
        <f t="shared" si="39"/>
        <v>-9.1897687241537747E-6</v>
      </c>
      <c r="J25" s="193">
        <f>AVERAGE(G25:I25)</f>
        <v>3.513631421390185E-3</v>
      </c>
      <c r="K25" s="35">
        <f t="shared" si="39"/>
        <v>3.4559377788410473E-3</v>
      </c>
      <c r="L25" s="35">
        <f t="shared" ref="L25" si="40">AVERAGE(C25:F25,K25)</f>
        <v>4.9920427686960369E-3</v>
      </c>
      <c r="M25" s="35">
        <f t="shared" ref="M25" si="41">AVERAGE(K25:L25,D25:F25)</f>
        <v>5.8472361416260794E-3</v>
      </c>
      <c r="N25" s="35">
        <f t="shared" ref="N25" si="42">AVERAGE(K25:M25,E25:F25)</f>
        <v>5.6600086536813116E-3</v>
      </c>
      <c r="O25" s="35">
        <f t="shared" ref="O25" si="43">AVERAGE(K25:N25,F25)</f>
        <v>4.9978088731603403E-3</v>
      </c>
      <c r="P25" s="35">
        <f>AVERAGE(K25:O25)</f>
        <v>4.9906068432009638E-3</v>
      </c>
      <c r="Q25" s="35">
        <f t="shared" ref="Q25:R25" si="44">AVERAGE(L25:P25)</f>
        <v>5.2975406560729467E-3</v>
      </c>
      <c r="R25" s="35">
        <f t="shared" si="44"/>
        <v>5.3586402335483278E-3</v>
      </c>
    </row>
    <row r="27" spans="2:19" x14ac:dyDescent="0.25">
      <c r="B27" s="32" t="s">
        <v>269</v>
      </c>
      <c r="C27" s="37">
        <f t="shared" ref="C27:I27" si="45">-C108/C62</f>
        <v>0.66318488991187374</v>
      </c>
      <c r="D27" s="37">
        <f t="shared" si="45"/>
        <v>0.77129368807830079</v>
      </c>
      <c r="E27" s="37">
        <f t="shared" si="45"/>
        <v>0.49259239639066943</v>
      </c>
      <c r="F27" s="37">
        <f t="shared" si="45"/>
        <v>0.51485434092875682</v>
      </c>
      <c r="G27" s="37">
        <f t="shared" si="45"/>
        <v>0.68049026676279745</v>
      </c>
      <c r="H27" s="37">
        <f t="shared" si="45"/>
        <v>0.75625333484243373</v>
      </c>
      <c r="I27" s="37">
        <f t="shared" si="45"/>
        <v>0.6517118750435813</v>
      </c>
      <c r="J27" s="35">
        <f>AVERAGE(G27:I27)</f>
        <v>0.6961518255496042</v>
      </c>
      <c r="K27" s="35">
        <f>-K108/K62</f>
        <v>0.69407550055081724</v>
      </c>
      <c r="L27" s="35">
        <f>AVERAGE(C27:F27,K27)</f>
        <v>0.62720016317208371</v>
      </c>
      <c r="M27" s="35">
        <f>AVERAGE(K27:L27,D27:F27)</f>
        <v>0.6200032178241256</v>
      </c>
      <c r="N27" s="35">
        <f>AVERAGE(K27:M27,E27:F27)</f>
        <v>0.58974512377329058</v>
      </c>
      <c r="O27" s="35">
        <f>AVERAGE(K27:N27,F27)</f>
        <v>0.60917566924981481</v>
      </c>
      <c r="P27" s="35">
        <f>AVERAGE(K27:O27)</f>
        <v>0.62803993491402632</v>
      </c>
      <c r="Q27" s="35">
        <f>AVERAGE(L27:P27)</f>
        <v>0.6148328217866682</v>
      </c>
      <c r="R27" s="35">
        <f>AVERAGE(M27:Q27)</f>
        <v>0.61235935350958515</v>
      </c>
    </row>
    <row r="28" spans="2:19" x14ac:dyDescent="0.25">
      <c r="B28" s="32" t="s">
        <v>309</v>
      </c>
      <c r="C28" s="66">
        <f t="shared" ref="C28:K28" si="46">-C109/C62</f>
        <v>1.3714722619336803E-2</v>
      </c>
      <c r="D28" s="66">
        <f t="shared" si="46"/>
        <v>0.32853250471400186</v>
      </c>
      <c r="E28" s="66">
        <f t="shared" si="46"/>
        <v>8.0518326240633806E-2</v>
      </c>
      <c r="F28" s="66">
        <f t="shared" si="46"/>
        <v>0.27904950864281697</v>
      </c>
      <c r="G28" s="66">
        <f t="shared" si="46"/>
        <v>1.9040374909877433</v>
      </c>
      <c r="H28" s="66">
        <f t="shared" si="46"/>
        <v>0.26892169385742237</v>
      </c>
      <c r="I28" s="66">
        <f t="shared" si="46"/>
        <v>0.25784812774562443</v>
      </c>
      <c r="J28" s="51">
        <v>0</v>
      </c>
      <c r="K28" s="35">
        <f t="shared" si="46"/>
        <v>0.62471630094610964</v>
      </c>
      <c r="L28" s="51">
        <v>0.45</v>
      </c>
      <c r="M28" s="51">
        <v>0.3</v>
      </c>
      <c r="N28" s="51">
        <v>0.25</v>
      </c>
      <c r="O28" s="51">
        <v>0.35</v>
      </c>
      <c r="P28" s="51">
        <v>0.25</v>
      </c>
      <c r="Q28" s="51">
        <v>0.3</v>
      </c>
      <c r="R28" s="51">
        <v>0.3</v>
      </c>
      <c r="S28" s="31" t="s">
        <v>328</v>
      </c>
    </row>
    <row r="29" spans="2:19" x14ac:dyDescent="0.25">
      <c r="B29" s="32" t="s">
        <v>270</v>
      </c>
      <c r="C29" s="37">
        <f t="shared" ref="C29:I29" si="47">C111/(C107+C106)</f>
        <v>0.10910804489371362</v>
      </c>
      <c r="D29" s="37">
        <f t="shared" si="47"/>
        <v>0.20243172780027152</v>
      </c>
      <c r="E29" s="37">
        <f t="shared" si="47"/>
        <v>5.6242536252487918</v>
      </c>
      <c r="F29" s="37">
        <f t="shared" si="47"/>
        <v>-0.10019784156893917</v>
      </c>
      <c r="G29" s="37">
        <f t="shared" si="47"/>
        <v>8.7705615428247299E-2</v>
      </c>
      <c r="H29" s="37">
        <f t="shared" si="47"/>
        <v>0.14705468859834106</v>
      </c>
      <c r="I29" s="37">
        <f t="shared" si="47"/>
        <v>-4.8888888888888886E-4</v>
      </c>
      <c r="J29" s="35">
        <f>AVERAGE(G29:I29)</f>
        <v>7.8090471712566487E-2</v>
      </c>
      <c r="K29" s="35">
        <f t="shared" ref="K29" si="48">K111/(K107+K106)</f>
        <v>0.1285563677151623</v>
      </c>
      <c r="L29" s="35">
        <f>K29</f>
        <v>0.1285563677151623</v>
      </c>
      <c r="M29" s="35">
        <f t="shared" ref="M29:R29" si="49">L29</f>
        <v>0.1285563677151623</v>
      </c>
      <c r="N29" s="35">
        <f t="shared" si="49"/>
        <v>0.1285563677151623</v>
      </c>
      <c r="O29" s="35">
        <f t="shared" si="49"/>
        <v>0.1285563677151623</v>
      </c>
      <c r="P29" s="35">
        <f t="shared" si="49"/>
        <v>0.1285563677151623</v>
      </c>
      <c r="Q29" s="35">
        <f t="shared" si="49"/>
        <v>0.1285563677151623</v>
      </c>
      <c r="R29" s="35">
        <f t="shared" si="49"/>
        <v>0.1285563677151623</v>
      </c>
    </row>
    <row r="30" spans="2:19" x14ac:dyDescent="0.25">
      <c r="B30" s="32"/>
      <c r="C30" s="37"/>
      <c r="D30" s="37"/>
      <c r="E30" s="37"/>
      <c r="F30" s="37"/>
      <c r="G30" s="37"/>
      <c r="H30" s="37"/>
      <c r="I30" s="37"/>
      <c r="J30" s="35"/>
      <c r="K30" s="35"/>
      <c r="L30" s="35"/>
      <c r="M30" s="35"/>
      <c r="N30" s="35"/>
      <c r="O30" s="35"/>
      <c r="P30" s="35"/>
      <c r="Q30" s="35"/>
      <c r="R30" s="35"/>
    </row>
    <row r="31" spans="2:19" x14ac:dyDescent="0.25">
      <c r="B31" s="31" t="s">
        <v>312</v>
      </c>
      <c r="D31" s="46"/>
      <c r="E31" s="46"/>
      <c r="F31" s="46"/>
      <c r="G31" s="46"/>
      <c r="H31" s="46"/>
      <c r="I31" s="58"/>
      <c r="J31" s="46">
        <f t="shared" ref="J31:R31" si="50">I68+J98+J103+SUM(J107:J111)+J114</f>
        <v>4127.5042443884258</v>
      </c>
      <c r="K31" s="46">
        <f t="shared" si="50"/>
        <v>-61924.495755611533</v>
      </c>
      <c r="L31" s="46">
        <f t="shared" si="50"/>
        <v>35655.546104641602</v>
      </c>
      <c r="M31" s="46">
        <f t="shared" si="50"/>
        <v>8326.2324377164969</v>
      </c>
      <c r="N31" s="46">
        <f t="shared" si="50"/>
        <v>10124.674931974499</v>
      </c>
      <c r="O31" s="46">
        <f t="shared" si="50"/>
        <v>8624.2991543065418</v>
      </c>
      <c r="P31" s="46">
        <f t="shared" si="50"/>
        <v>11600.944975563631</v>
      </c>
      <c r="Q31" s="46">
        <f t="shared" si="50"/>
        <v>15748.062448870063</v>
      </c>
      <c r="R31" s="46">
        <f t="shared" si="50"/>
        <v>7303.2908527923473</v>
      </c>
    </row>
    <row r="32" spans="2:19" x14ac:dyDescent="0.25">
      <c r="B32" s="31" t="s">
        <v>316</v>
      </c>
      <c r="D32" s="46"/>
      <c r="E32" s="46"/>
      <c r="F32" s="46"/>
      <c r="G32" s="46"/>
      <c r="H32" s="46"/>
      <c r="I32" s="58"/>
      <c r="J32" s="46">
        <f t="shared" ref="J32:R32" si="51">-MIN(J31,I76)</f>
        <v>-4127.5042443884258</v>
      </c>
      <c r="K32" s="46">
        <f t="shared" si="51"/>
        <v>61924.495755611533</v>
      </c>
      <c r="L32" s="46">
        <f t="shared" si="51"/>
        <v>-35655.546104641602</v>
      </c>
      <c r="M32" s="46">
        <f t="shared" si="51"/>
        <v>-8326.2324377164969</v>
      </c>
      <c r="N32" s="46">
        <f t="shared" si="51"/>
        <v>-10124.674931974499</v>
      </c>
      <c r="O32" s="46">
        <f t="shared" si="51"/>
        <v>-8624.2991543065418</v>
      </c>
      <c r="P32" s="46">
        <f t="shared" si="51"/>
        <v>-11600.944975563631</v>
      </c>
      <c r="Q32" s="46">
        <f t="shared" si="51"/>
        <v>-15748.062448870063</v>
      </c>
      <c r="R32" s="46">
        <f t="shared" si="51"/>
        <v>-7303.2908527923473</v>
      </c>
    </row>
    <row r="33" spans="2:19" x14ac:dyDescent="0.25">
      <c r="B33" s="31" t="s">
        <v>366</v>
      </c>
      <c r="D33" s="46"/>
      <c r="E33" s="46"/>
      <c r="F33" s="46"/>
      <c r="G33" s="46"/>
      <c r="H33" s="46"/>
      <c r="I33" s="58"/>
      <c r="J33" s="43">
        <v>25000</v>
      </c>
      <c r="K33" s="43">
        <v>25000</v>
      </c>
      <c r="L33" s="43">
        <v>25000</v>
      </c>
      <c r="M33" s="43">
        <v>25000</v>
      </c>
      <c r="N33" s="43">
        <v>25000</v>
      </c>
      <c r="O33" s="43">
        <v>25000</v>
      </c>
      <c r="P33" s="43">
        <v>25000</v>
      </c>
      <c r="Q33" s="43">
        <v>25000</v>
      </c>
      <c r="R33" s="43">
        <v>25000</v>
      </c>
      <c r="S33" s="31" t="s">
        <v>350</v>
      </c>
    </row>
    <row r="34" spans="2:19" x14ac:dyDescent="0.25">
      <c r="B34" s="31" t="s">
        <v>313</v>
      </c>
      <c r="D34" s="46"/>
      <c r="E34" s="46"/>
      <c r="F34" s="46"/>
      <c r="G34" s="46"/>
      <c r="H34" s="46"/>
      <c r="I34" s="58"/>
      <c r="J34" s="46">
        <f t="shared" ref="J34:R34" si="52">SUM(J32:J33)</f>
        <v>20872.495755611573</v>
      </c>
      <c r="K34" s="46">
        <f t="shared" si="52"/>
        <v>86924.495755611541</v>
      </c>
      <c r="L34" s="46">
        <f t="shared" si="52"/>
        <v>-10655.546104641602</v>
      </c>
      <c r="M34" s="46">
        <f t="shared" si="52"/>
        <v>16673.767562283501</v>
      </c>
      <c r="N34" s="46">
        <f t="shared" si="52"/>
        <v>14875.325068025501</v>
      </c>
      <c r="O34" s="46">
        <f t="shared" si="52"/>
        <v>16375.700845693458</v>
      </c>
      <c r="P34" s="46">
        <f t="shared" si="52"/>
        <v>13399.055024436369</v>
      </c>
      <c r="Q34" s="46">
        <f t="shared" si="52"/>
        <v>9251.9375511299368</v>
      </c>
      <c r="R34" s="46">
        <f t="shared" si="52"/>
        <v>17696.709147207654</v>
      </c>
      <c r="S34" s="46"/>
    </row>
    <row r="35" spans="2:19" x14ac:dyDescent="0.25">
      <c r="I35" s="58"/>
      <c r="J35" s="46"/>
      <c r="K35" s="46"/>
      <c r="L35" s="46"/>
      <c r="M35" s="46"/>
      <c r="N35" s="46"/>
      <c r="O35" s="46"/>
      <c r="P35" s="46"/>
      <c r="Q35" s="46"/>
      <c r="R35" s="46"/>
    </row>
    <row r="36" spans="2:19" x14ac:dyDescent="0.25">
      <c r="B36" s="31" t="s">
        <v>318</v>
      </c>
      <c r="C36" s="59"/>
      <c r="D36" s="59"/>
      <c r="E36" s="59"/>
      <c r="F36" s="59"/>
      <c r="G36" s="59"/>
      <c r="H36" s="59"/>
      <c r="I36" s="58">
        <v>600000</v>
      </c>
      <c r="J36" s="46">
        <v>600000</v>
      </c>
      <c r="K36" s="46">
        <v>600000</v>
      </c>
      <c r="L36" s="46">
        <v>600000</v>
      </c>
      <c r="M36" s="46">
        <v>600000</v>
      </c>
      <c r="N36" s="46">
        <v>600000</v>
      </c>
      <c r="O36" s="46">
        <v>600000</v>
      </c>
      <c r="P36" s="46">
        <v>600000</v>
      </c>
      <c r="Q36" s="46">
        <v>600000</v>
      </c>
      <c r="R36" s="46">
        <v>600000</v>
      </c>
    </row>
    <row r="37" spans="2:19" x14ac:dyDescent="0.25">
      <c r="B37" s="31" t="s">
        <v>319</v>
      </c>
      <c r="C37" s="59"/>
      <c r="D37" s="59"/>
      <c r="E37" s="59"/>
      <c r="F37" s="59"/>
      <c r="G37" s="59"/>
      <c r="H37" s="59"/>
      <c r="I37" s="58">
        <f t="shared" ref="I37:R37" si="53">I76</f>
        <v>81300</v>
      </c>
      <c r="J37" s="46">
        <f t="shared" si="53"/>
        <v>102172.49575561157</v>
      </c>
      <c r="K37" s="46">
        <f t="shared" si="53"/>
        <v>102172.49575561157</v>
      </c>
      <c r="L37" s="46">
        <f t="shared" si="53"/>
        <v>91516.949650969967</v>
      </c>
      <c r="M37" s="46">
        <f t="shared" si="53"/>
        <v>108190.71721325346</v>
      </c>
      <c r="N37" s="46">
        <f t="shared" si="53"/>
        <v>123066.04228127896</v>
      </c>
      <c r="O37" s="46">
        <f t="shared" si="53"/>
        <v>139441.74312697243</v>
      </c>
      <c r="P37" s="46">
        <f t="shared" si="53"/>
        <v>152840.79815140879</v>
      </c>
      <c r="Q37" s="46">
        <f t="shared" si="53"/>
        <v>162092.73570253872</v>
      </c>
      <c r="R37" s="46">
        <f t="shared" si="53"/>
        <v>179789.44484974636</v>
      </c>
    </row>
    <row r="38" spans="2:19" x14ac:dyDescent="0.25">
      <c r="B38" s="31" t="s">
        <v>317</v>
      </c>
      <c r="C38" s="59"/>
      <c r="D38" s="59"/>
      <c r="E38" s="59"/>
      <c r="F38" s="59"/>
      <c r="G38" s="59"/>
      <c r="H38" s="59"/>
      <c r="I38" s="58">
        <f t="shared" ref="I38:R38" si="54">I36-I37</f>
        <v>518700</v>
      </c>
      <c r="J38" s="46">
        <f t="shared" si="54"/>
        <v>497827.50424438843</v>
      </c>
      <c r="K38" s="46">
        <f t="shared" si="54"/>
        <v>497827.50424438843</v>
      </c>
      <c r="L38" s="46">
        <f t="shared" si="54"/>
        <v>508483.05034903006</v>
      </c>
      <c r="M38" s="46">
        <f t="shared" si="54"/>
        <v>491809.28278674651</v>
      </c>
      <c r="N38" s="46">
        <f t="shared" si="54"/>
        <v>476933.95771872101</v>
      </c>
      <c r="O38" s="46">
        <f t="shared" si="54"/>
        <v>460558.25687302754</v>
      </c>
      <c r="P38" s="46">
        <f t="shared" si="54"/>
        <v>447159.20184859121</v>
      </c>
      <c r="Q38" s="46">
        <f t="shared" si="54"/>
        <v>437907.26429746125</v>
      </c>
      <c r="R38" s="46">
        <f t="shared" si="54"/>
        <v>420210.55515025364</v>
      </c>
    </row>
    <row r="39" spans="2:19" x14ac:dyDescent="0.25">
      <c r="B39" s="31" t="s">
        <v>320</v>
      </c>
      <c r="C39" s="59"/>
      <c r="D39" s="59"/>
      <c r="E39" s="59"/>
      <c r="F39" s="59"/>
      <c r="G39" s="59"/>
      <c r="H39" s="59"/>
      <c r="I39" s="58">
        <f t="shared" ref="I39:R39" si="55">I38*0.005</f>
        <v>2593.5</v>
      </c>
      <c r="J39" s="46">
        <f t="shared" si="55"/>
        <v>2489.1375212219423</v>
      </c>
      <c r="K39" s="46">
        <f t="shared" si="55"/>
        <v>2489.1375212219423</v>
      </c>
      <c r="L39" s="46">
        <f t="shared" si="55"/>
        <v>2542.4152517451503</v>
      </c>
      <c r="M39" s="46">
        <f t="shared" si="55"/>
        <v>2459.0464139337328</v>
      </c>
      <c r="N39" s="46">
        <f t="shared" si="55"/>
        <v>2384.6697885936051</v>
      </c>
      <c r="O39" s="46">
        <f t="shared" si="55"/>
        <v>2302.7912843651379</v>
      </c>
      <c r="P39" s="46">
        <f t="shared" si="55"/>
        <v>2235.7960092429562</v>
      </c>
      <c r="Q39" s="46">
        <f t="shared" si="55"/>
        <v>2189.5363214873064</v>
      </c>
      <c r="R39" s="46">
        <f t="shared" si="55"/>
        <v>2101.0527757512682</v>
      </c>
    </row>
    <row r="40" spans="2:19" x14ac:dyDescent="0.25">
      <c r="C40" s="121"/>
      <c r="D40" s="121"/>
      <c r="E40" s="121"/>
      <c r="F40" s="121"/>
      <c r="G40" s="121"/>
      <c r="H40" s="121"/>
      <c r="I40" s="121"/>
      <c r="J40" s="193"/>
      <c r="K40" s="35"/>
      <c r="L40" s="35"/>
      <c r="M40" s="35"/>
      <c r="N40" s="35"/>
      <c r="O40" s="35"/>
      <c r="P40" s="35"/>
      <c r="Q40" s="35"/>
      <c r="R40" s="35"/>
    </row>
    <row r="41" spans="2:19" x14ac:dyDescent="0.25">
      <c r="B41" s="29" t="s">
        <v>271</v>
      </c>
      <c r="C41" s="30">
        <f>C$2</f>
        <v>44196</v>
      </c>
      <c r="D41" s="30">
        <f t="shared" ref="D41:R41" si="56">D$2</f>
        <v>44561</v>
      </c>
      <c r="E41" s="30">
        <f t="shared" si="56"/>
        <v>44926</v>
      </c>
      <c r="F41" s="30">
        <f t="shared" si="56"/>
        <v>45291</v>
      </c>
      <c r="G41" s="30" t="str">
        <f t="shared" si="56"/>
        <v>Q1-24</v>
      </c>
      <c r="H41" s="30" t="str">
        <f t="shared" si="56"/>
        <v>Q2-24</v>
      </c>
      <c r="I41" s="30" t="str">
        <f t="shared" si="56"/>
        <v>Q3-24</v>
      </c>
      <c r="J41" s="30" t="str">
        <f t="shared" si="56"/>
        <v>Q4-24</v>
      </c>
      <c r="K41" s="30">
        <f t="shared" si="56"/>
        <v>45657</v>
      </c>
      <c r="L41" s="30">
        <f t="shared" si="56"/>
        <v>46022</v>
      </c>
      <c r="M41" s="30">
        <f t="shared" si="56"/>
        <v>46387</v>
      </c>
      <c r="N41" s="30">
        <f t="shared" si="56"/>
        <v>46752</v>
      </c>
      <c r="O41" s="30">
        <f t="shared" si="56"/>
        <v>47118</v>
      </c>
      <c r="P41" s="30">
        <f t="shared" si="56"/>
        <v>47483</v>
      </c>
      <c r="Q41" s="30">
        <f t="shared" si="56"/>
        <v>47848</v>
      </c>
      <c r="R41" s="30">
        <f t="shared" si="56"/>
        <v>48213</v>
      </c>
    </row>
    <row r="42" spans="2:19" x14ac:dyDescent="0.25">
      <c r="J42" s="54"/>
      <c r="K42" s="54"/>
      <c r="L42" s="54"/>
      <c r="M42" s="54"/>
      <c r="N42" s="54"/>
      <c r="O42" s="54"/>
      <c r="P42" s="54"/>
      <c r="Q42" s="54"/>
      <c r="R42" s="54"/>
      <c r="S42" s="54"/>
    </row>
    <row r="43" spans="2:19" x14ac:dyDescent="0.25">
      <c r="B43" s="34" t="s">
        <v>302</v>
      </c>
      <c r="C43" s="43">
        <f>'Income Statement'!C6</f>
        <v>3192399</v>
      </c>
      <c r="D43" s="43">
        <f>'Income Statement'!D6</f>
        <v>3243224</v>
      </c>
      <c r="E43" s="43">
        <f>'Income Statement'!E6</f>
        <v>3691893</v>
      </c>
      <c r="F43" s="43">
        <f>'Income Statement'!F6</f>
        <v>4009282</v>
      </c>
      <c r="G43" s="43">
        <f>'Income Statement'!G6</f>
        <v>953969</v>
      </c>
      <c r="H43" s="43">
        <f>'Income Statement'!H6</f>
        <v>935348</v>
      </c>
      <c r="I43" s="43">
        <f>'Income Statement'!I6</f>
        <v>979350</v>
      </c>
      <c r="J43" s="44">
        <f>J9</f>
        <v>952178.74599999981</v>
      </c>
      <c r="K43" s="44">
        <f>SUM(G43:J43)</f>
        <v>3820845.7459999998</v>
      </c>
      <c r="L43" s="44">
        <f t="shared" ref="L43:R43" si="57">L9</f>
        <v>3800977.3481207998</v>
      </c>
      <c r="M43" s="44">
        <f t="shared" si="57"/>
        <v>3978863.0880128532</v>
      </c>
      <c r="N43" s="44">
        <f t="shared" si="57"/>
        <v>4240672.2792040994</v>
      </c>
      <c r="O43" s="44">
        <f t="shared" si="57"/>
        <v>4373829.3887711084</v>
      </c>
      <c r="P43" s="44">
        <f t="shared" si="57"/>
        <v>4592520.858209664</v>
      </c>
      <c r="Q43" s="44">
        <f t="shared" si="57"/>
        <v>4765934.445815661</v>
      </c>
      <c r="R43" s="44">
        <f t="shared" si="57"/>
        <v>4986845.0392481079</v>
      </c>
      <c r="S43" s="54"/>
    </row>
    <row r="44" spans="2:19" x14ac:dyDescent="0.25">
      <c r="B44" s="38" t="s">
        <v>272</v>
      </c>
      <c r="C44" s="45">
        <f t="shared" ref="C44:R44" si="58">SUM(C43:C43)</f>
        <v>3192399</v>
      </c>
      <c r="D44" s="45">
        <f t="shared" si="58"/>
        <v>3243224</v>
      </c>
      <c r="E44" s="45">
        <f t="shared" si="58"/>
        <v>3691893</v>
      </c>
      <c r="F44" s="45">
        <f t="shared" si="58"/>
        <v>4009282</v>
      </c>
      <c r="G44" s="45">
        <f t="shared" si="58"/>
        <v>953969</v>
      </c>
      <c r="H44" s="45">
        <f t="shared" si="58"/>
        <v>935348</v>
      </c>
      <c r="I44" s="45">
        <f t="shared" si="58"/>
        <v>979350</v>
      </c>
      <c r="J44" s="45">
        <f t="shared" si="58"/>
        <v>952178.74599999981</v>
      </c>
      <c r="K44" s="45">
        <f t="shared" si="58"/>
        <v>3820845.7459999998</v>
      </c>
      <c r="L44" s="45">
        <f t="shared" si="58"/>
        <v>3800977.3481207998</v>
      </c>
      <c r="M44" s="45">
        <f t="shared" si="58"/>
        <v>3978863.0880128532</v>
      </c>
      <c r="N44" s="45">
        <f t="shared" si="58"/>
        <v>4240672.2792040994</v>
      </c>
      <c r="O44" s="45">
        <f t="shared" si="58"/>
        <v>4373829.3887711084</v>
      </c>
      <c r="P44" s="45">
        <f t="shared" si="58"/>
        <v>4592520.858209664</v>
      </c>
      <c r="Q44" s="45">
        <f t="shared" si="58"/>
        <v>4765934.445815661</v>
      </c>
      <c r="R44" s="45">
        <f t="shared" si="58"/>
        <v>4986845.0392481079</v>
      </c>
    </row>
    <row r="45" spans="2:19" x14ac:dyDescent="0.25"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</row>
    <row r="46" spans="2:19" x14ac:dyDescent="0.25">
      <c r="B46" s="34" t="s">
        <v>308</v>
      </c>
      <c r="C46" s="43">
        <f>-'Income Statement'!C7</f>
        <v>-1849077</v>
      </c>
      <c r="D46" s="43">
        <f>-'Income Statement'!D7</f>
        <v>-1909709</v>
      </c>
      <c r="E46" s="43">
        <f>-'Income Statement'!E7</f>
        <v>-2133645</v>
      </c>
      <c r="F46" s="43">
        <f>-'Income Statement'!F7</f>
        <v>-2366317</v>
      </c>
      <c r="G46" s="43">
        <f>-'Income Statement'!G7</f>
        <v>-560852</v>
      </c>
      <c r="H46" s="43">
        <f>-'Income Statement'!H7</f>
        <v>-546737</v>
      </c>
      <c r="I46" s="43">
        <f>-'Income Statement'!I7</f>
        <v>-578903</v>
      </c>
      <c r="J46" s="44">
        <f>-J$43*J12</f>
        <v>-559738.78025917511</v>
      </c>
      <c r="K46" s="44">
        <f>SUM(G46:J46)</f>
        <v>-2246230.7802591752</v>
      </c>
      <c r="L46" s="44">
        <f t="shared" ref="L46:R47" si="59">-L$43*L12</f>
        <v>-2222863.2034237706</v>
      </c>
      <c r="M46" s="44">
        <f t="shared" si="59"/>
        <v>-2331350.4954907461</v>
      </c>
      <c r="N46" s="44">
        <f t="shared" si="59"/>
        <v>-2482296.6488075126</v>
      </c>
      <c r="O46" s="44">
        <f t="shared" si="59"/>
        <v>-2566738.0129408371</v>
      </c>
      <c r="P46" s="44">
        <f t="shared" si="59"/>
        <v>-2691979.8536775676</v>
      </c>
      <c r="Q46" s="44">
        <f t="shared" si="59"/>
        <v>-2791987.328313373</v>
      </c>
      <c r="R46" s="44">
        <f t="shared" si="59"/>
        <v>-2922406.8812334873</v>
      </c>
    </row>
    <row r="47" spans="2:19" x14ac:dyDescent="0.25">
      <c r="B47" s="34" t="s">
        <v>273</v>
      </c>
      <c r="C47" s="43">
        <f>-'Income Statement'!C11</f>
        <v>-975553</v>
      </c>
      <c r="D47" s="43">
        <f>-'Income Statement'!D11</f>
        <v>-994468</v>
      </c>
      <c r="E47" s="43">
        <f>-'Income Statement'!E11</f>
        <v>-1083862</v>
      </c>
      <c r="F47" s="43">
        <f>-'Income Statement'!F11</f>
        <v>-1151295</v>
      </c>
      <c r="G47" s="43">
        <f>-'Income Statement'!G11</f>
        <v>-290633</v>
      </c>
      <c r="H47" s="43">
        <f>-'Income Statement'!H11</f>
        <v>-291235</v>
      </c>
      <c r="I47" s="43">
        <f>-'Income Statement'!I11</f>
        <v>-288991</v>
      </c>
      <c r="J47" s="44">
        <f>-J$43*J13</f>
        <v>-289178.76111293869</v>
      </c>
      <c r="K47" s="44">
        <f>SUM(G47:J47)</f>
        <v>-1160037.7611129386</v>
      </c>
      <c r="L47" s="44">
        <f t="shared" si="59"/>
        <v>-1137677.7884201524</v>
      </c>
      <c r="M47" s="44">
        <f t="shared" si="59"/>
        <v>-1185928.2201902838</v>
      </c>
      <c r="N47" s="44">
        <f t="shared" si="59"/>
        <v>-1256691.7525111502</v>
      </c>
      <c r="O47" s="44">
        <f t="shared" si="59"/>
        <v>-1298569.4170542345</v>
      </c>
      <c r="P47" s="44">
        <f t="shared" si="59"/>
        <v>-1372442.1945219883</v>
      </c>
      <c r="Q47" s="44">
        <f t="shared" si="59"/>
        <v>-1419723.9618000961</v>
      </c>
      <c r="R47" s="44">
        <f t="shared" si="59"/>
        <v>-1484112.7859355782</v>
      </c>
    </row>
    <row r="48" spans="2:19" x14ac:dyDescent="0.25">
      <c r="B48" s="34" t="s">
        <v>298</v>
      </c>
      <c r="C48" s="43">
        <f>-'Income Statement'!C12</f>
        <v>0</v>
      </c>
      <c r="D48" s="43">
        <f>-'Income Statement'!D12</f>
        <v>-5886</v>
      </c>
      <c r="E48" s="43">
        <f>-'Income Statement'!E12</f>
        <v>0</v>
      </c>
      <c r="F48" s="43">
        <f>-'Income Statement'!F12</f>
        <v>0</v>
      </c>
      <c r="G48" s="43">
        <f>-'Income Statement'!G12</f>
        <v>0</v>
      </c>
      <c r="H48" s="43">
        <f>-'Income Statement'!H12</f>
        <v>0</v>
      </c>
      <c r="I48" s="43">
        <f>-'Income Statement'!I12</f>
        <v>0</v>
      </c>
      <c r="J48" s="44">
        <f>-J$43*J14</f>
        <v>0</v>
      </c>
      <c r="K48" s="44">
        <f>SUM(G48:J48)</f>
        <v>0</v>
      </c>
      <c r="L48" s="44">
        <f>K48</f>
        <v>0</v>
      </c>
      <c r="M48" s="44">
        <f t="shared" ref="M48:R48" si="60">L48</f>
        <v>0</v>
      </c>
      <c r="N48" s="44">
        <f t="shared" si="60"/>
        <v>0</v>
      </c>
      <c r="O48" s="44">
        <f t="shared" si="60"/>
        <v>0</v>
      </c>
      <c r="P48" s="44">
        <f t="shared" si="60"/>
        <v>0</v>
      </c>
      <c r="Q48" s="44">
        <f t="shared" si="60"/>
        <v>0</v>
      </c>
      <c r="R48" s="44">
        <f t="shared" si="60"/>
        <v>0</v>
      </c>
    </row>
    <row r="49" spans="2:19" x14ac:dyDescent="0.25">
      <c r="B49" s="34" t="s">
        <v>299</v>
      </c>
      <c r="C49" s="43">
        <f>-'Income Statement'!C13</f>
        <v>-17029</v>
      </c>
      <c r="D49" s="43">
        <f>-'Income Statement'!D13</f>
        <v>-31392</v>
      </c>
      <c r="E49" s="43">
        <f>-'Income Statement'!E13</f>
        <v>-15805</v>
      </c>
      <c r="F49" s="43">
        <f>-'Income Statement'!F13</f>
        <v>-7937</v>
      </c>
      <c r="G49" s="43">
        <f>-'Income Statement'!G13</f>
        <v>-916</v>
      </c>
      <c r="H49" s="43">
        <f>-'Income Statement'!H13</f>
        <v>-6181</v>
      </c>
      <c r="I49" s="43">
        <f>-'Income Statement'!I13</f>
        <v>-4690</v>
      </c>
      <c r="J49" s="44">
        <f>-J$43*J15</f>
        <v>-6677.9508127977051</v>
      </c>
      <c r="K49" s="44">
        <f>SUM(G49:J49)</f>
        <v>-18464.950812797706</v>
      </c>
      <c r="L49" s="44">
        <f t="shared" ref="L49:R49" si="61">-L$43*L15</f>
        <v>-33927.258494367292</v>
      </c>
      <c r="M49" s="44">
        <f t="shared" si="61"/>
        <v>-35289.42922704087</v>
      </c>
      <c r="N49" s="44">
        <f t="shared" si="61"/>
        <v>-31192.043859924357</v>
      </c>
      <c r="O49" s="44">
        <f t="shared" si="61"/>
        <v>-32125.930493792046</v>
      </c>
      <c r="P49" s="44">
        <f t="shared" si="61"/>
        <v>-37397.864732286049</v>
      </c>
      <c r="Q49" s="44">
        <f t="shared" si="61"/>
        <v>-38736.417239412382</v>
      </c>
      <c r="R49" s="44">
        <f t="shared" si="61"/>
        <v>-39735.867035611962</v>
      </c>
    </row>
    <row r="50" spans="2:19" x14ac:dyDescent="0.25">
      <c r="B50" s="34" t="s">
        <v>300</v>
      </c>
      <c r="C50" s="43">
        <f>-'Income Statement'!C14</f>
        <v>0</v>
      </c>
      <c r="D50" s="43">
        <f>-'Income Statement'!D14</f>
        <v>0</v>
      </c>
      <c r="E50" s="43">
        <f>-'Income Statement'!E14</f>
        <v>10132</v>
      </c>
      <c r="F50" s="43">
        <f>-'Income Statement'!F14</f>
        <v>0</v>
      </c>
      <c r="G50" s="43">
        <f>-'Income Statement'!G14</f>
        <v>0</v>
      </c>
      <c r="H50" s="43">
        <f>-'Income Statement'!H14</f>
        <v>0</v>
      </c>
      <c r="I50" s="43">
        <f>-'Income Statement'!I14</f>
        <v>0</v>
      </c>
      <c r="J50" s="44">
        <f>-J$43*J16</f>
        <v>0</v>
      </c>
      <c r="K50" s="44">
        <f>SUM(G50:J50)</f>
        <v>0</v>
      </c>
      <c r="L50" s="44">
        <f>K50</f>
        <v>0</v>
      </c>
      <c r="M50" s="44">
        <f t="shared" ref="M50:R50" si="62">L50</f>
        <v>0</v>
      </c>
      <c r="N50" s="44">
        <f t="shared" si="62"/>
        <v>0</v>
      </c>
      <c r="O50" s="44">
        <f t="shared" si="62"/>
        <v>0</v>
      </c>
      <c r="P50" s="44">
        <f t="shared" si="62"/>
        <v>0</v>
      </c>
      <c r="Q50" s="44">
        <f t="shared" si="62"/>
        <v>0</v>
      </c>
      <c r="R50" s="44">
        <f t="shared" si="62"/>
        <v>0</v>
      </c>
    </row>
    <row r="51" spans="2:19" x14ac:dyDescent="0.25">
      <c r="B51" s="38" t="s">
        <v>274</v>
      </c>
      <c r="C51" s="45">
        <f>C44+SUM(C46:C50)</f>
        <v>350740</v>
      </c>
      <c r="D51" s="45">
        <f>D44+SUM(D46:D50)</f>
        <v>301769</v>
      </c>
      <c r="E51" s="45">
        <f>E44+SUM(E46:E50)</f>
        <v>468713</v>
      </c>
      <c r="F51" s="45">
        <f>F44+SUM(F46:F50)</f>
        <v>483733</v>
      </c>
      <c r="G51" s="45">
        <f t="shared" ref="G51:R51" si="63">G44+SUM(G46:G50)</f>
        <v>101568</v>
      </c>
      <c r="H51" s="45">
        <f t="shared" si="63"/>
        <v>91195</v>
      </c>
      <c r="I51" s="45">
        <f t="shared" si="63"/>
        <v>106766</v>
      </c>
      <c r="J51" s="83">
        <f t="shared" si="63"/>
        <v>96583.253815088188</v>
      </c>
      <c r="K51" s="83">
        <f t="shared" si="63"/>
        <v>396112.25381508842</v>
      </c>
      <c r="L51" s="83">
        <f t="shared" si="63"/>
        <v>406509.0977825094</v>
      </c>
      <c r="M51" s="83">
        <f t="shared" si="63"/>
        <v>426294.94310478214</v>
      </c>
      <c r="N51" s="83">
        <f t="shared" si="63"/>
        <v>470491.83402551245</v>
      </c>
      <c r="O51" s="83">
        <f t="shared" si="63"/>
        <v>476396.02828224469</v>
      </c>
      <c r="P51" s="83">
        <f t="shared" si="63"/>
        <v>490700.9452778222</v>
      </c>
      <c r="Q51" s="83">
        <f t="shared" si="63"/>
        <v>515486.73846277874</v>
      </c>
      <c r="R51" s="83">
        <f t="shared" si="63"/>
        <v>540589.50504343119</v>
      </c>
    </row>
    <row r="52" spans="2:19" s="209" customFormat="1" x14ac:dyDescent="0.25">
      <c r="B52" s="207" t="s">
        <v>352</v>
      </c>
      <c r="C52" s="208">
        <f>(SUM(C44:C46)/C44)</f>
        <v>0.42078762711052098</v>
      </c>
      <c r="D52" s="208">
        <f t="shared" ref="D52:R52" si="64">(SUM(D44:D46)/D44)</f>
        <v>0.41116956460608334</v>
      </c>
      <c r="E52" s="208">
        <f t="shared" si="64"/>
        <v>0.4220729040630376</v>
      </c>
      <c r="F52" s="208">
        <f t="shared" si="64"/>
        <v>0.40979033153567146</v>
      </c>
      <c r="G52" s="208">
        <f t="shared" si="64"/>
        <v>0.41208571767007102</v>
      </c>
      <c r="H52" s="208">
        <f t="shared" si="64"/>
        <v>0.41547210236190169</v>
      </c>
      <c r="I52" s="208">
        <f t="shared" si="64"/>
        <v>0.40889059069791189</v>
      </c>
      <c r="J52" s="208">
        <f t="shared" si="64"/>
        <v>0.41214947024329485</v>
      </c>
      <c r="K52" s="208">
        <f t="shared" si="64"/>
        <v>0.41211162931381651</v>
      </c>
      <c r="L52" s="208">
        <f t="shared" si="64"/>
        <v>0.41518641132582584</v>
      </c>
      <c r="M52" s="208">
        <f t="shared" si="64"/>
        <v>0.41406616816888697</v>
      </c>
      <c r="N52" s="208">
        <f t="shared" si="64"/>
        <v>0.4146454888814477</v>
      </c>
      <c r="O52" s="208">
        <f t="shared" si="64"/>
        <v>0.41316000584512974</v>
      </c>
      <c r="P52" s="208">
        <f t="shared" si="64"/>
        <v>0.41383394070702123</v>
      </c>
      <c r="Q52" s="208">
        <f t="shared" si="64"/>
        <v>0.41417840298566228</v>
      </c>
      <c r="R52" s="208">
        <f t="shared" si="64"/>
        <v>0.41397680131762959</v>
      </c>
    </row>
    <row r="53" spans="2:19" x14ac:dyDescent="0.25">
      <c r="C53" s="46"/>
      <c r="D53" s="46"/>
      <c r="E53" s="46"/>
      <c r="F53" s="46"/>
      <c r="G53" s="46"/>
      <c r="H53" s="46"/>
      <c r="I53" s="46"/>
      <c r="J53" s="49"/>
      <c r="K53" s="49"/>
      <c r="L53" s="49"/>
      <c r="M53" s="49"/>
      <c r="N53" s="49"/>
      <c r="O53" s="49"/>
      <c r="P53" s="49"/>
      <c r="Q53" s="49"/>
      <c r="R53" s="49"/>
    </row>
    <row r="54" spans="2:19" x14ac:dyDescent="0.25">
      <c r="B54" s="34" t="s">
        <v>275</v>
      </c>
      <c r="C54" s="43">
        <f>'Income Statement'!C19+'Income Statement'!C20</f>
        <v>-16340</v>
      </c>
      <c r="D54" s="43">
        <f>'Income Statement'!D19+'Income Statement'!D20</f>
        <v>-14444</v>
      </c>
      <c r="E54" s="43">
        <f>'Income Statement'!E19+'Income Statement'!E20</f>
        <v>-17449</v>
      </c>
      <c r="F54" s="43">
        <f>'Income Statement'!F19+'Income Statement'!F20</f>
        <v>-21509</v>
      </c>
      <c r="G54" s="43">
        <f>'Income Statement'!G19+'Income Statement'!G20</f>
        <v>-5195</v>
      </c>
      <c r="H54" s="43">
        <f>'Income Statement'!H19+'Income Statement'!H20</f>
        <v>-6908</v>
      </c>
      <c r="I54" s="43">
        <f>'Income Statement'!I19+'Income Statement'!I20</f>
        <v>-6750</v>
      </c>
      <c r="J54" s="49">
        <f>J$43*J17</f>
        <v>-6260.0936533050226</v>
      </c>
      <c r="K54" s="49">
        <f>SUM(G54:J54)</f>
        <v>-25113.093653305023</v>
      </c>
      <c r="L54" s="49">
        <f t="shared" ref="L54:R54" si="65">L$43*L17</f>
        <v>-19944.303346773031</v>
      </c>
      <c r="M54" s="49">
        <f t="shared" si="65"/>
        <v>-20980.147304739094</v>
      </c>
      <c r="N54" s="49">
        <f t="shared" si="65"/>
        <v>-23055.523443826834</v>
      </c>
      <c r="O54" s="49">
        <f t="shared" si="65"/>
        <v>-24400.952839236474</v>
      </c>
      <c r="P54" s="49">
        <f t="shared" si="65"/>
        <v>-25817.608497896952</v>
      </c>
      <c r="Q54" s="49">
        <f t="shared" si="65"/>
        <v>-25886.01090774516</v>
      </c>
      <c r="R54" s="49">
        <f t="shared" si="65"/>
        <v>-27269.709026558863</v>
      </c>
    </row>
    <row r="55" spans="2:19" x14ac:dyDescent="0.25">
      <c r="B55" s="34" t="s">
        <v>276</v>
      </c>
      <c r="C55" s="43">
        <f>'Income Statement'!C21</f>
        <v>-150</v>
      </c>
      <c r="D55" s="43">
        <f>'Income Statement'!D21</f>
        <v>1054</v>
      </c>
      <c r="E55" s="43">
        <f>'Income Statement'!E21</f>
        <v>-132</v>
      </c>
      <c r="F55" s="43">
        <f>'Income Statement'!F21</f>
        <v>-6068</v>
      </c>
      <c r="G55" s="43">
        <f>'Income Statement'!G21</f>
        <v>-5055</v>
      </c>
      <c r="H55" s="43">
        <f>'Income Statement'!H21</f>
        <v>-4332</v>
      </c>
      <c r="I55" s="43">
        <f>'Income Statement'!I21</f>
        <v>-4680</v>
      </c>
      <c r="J55" s="49">
        <f>-SOFR!$C$29*I78/4-I39/4</f>
        <v>-4723.6237999999994</v>
      </c>
      <c r="K55" s="49">
        <f>SUM(G55:J55)</f>
        <v>-18790.623800000001</v>
      </c>
      <c r="L55" s="49">
        <f>-SOFR!$C$29*K78-K39</f>
        <v>-18749.48186037406</v>
      </c>
      <c r="M55" s="49">
        <f>-SOFR!$C$29*L78-L39</f>
        <v>-18641.766082588834</v>
      </c>
      <c r="N55" s="49">
        <f>-SOFR!$C$29*M78-M39</f>
        <v>-18398.997731600746</v>
      </c>
      <c r="O55" s="49">
        <f>-SOFR!$C$29*N78-N39</f>
        <v>-18166.799806085699</v>
      </c>
      <c r="P55" s="49">
        <f>-SOFR!$C$29*O78-O39</f>
        <v>-17928.662588812756</v>
      </c>
      <c r="Q55" s="49">
        <f>-SOFR!$C$29*P78-P39</f>
        <v>-17706.955716616834</v>
      </c>
      <c r="R55" s="49">
        <f>-SOFR!$C$29*Q78-Q39</f>
        <v>-17507.516229778274</v>
      </c>
      <c r="S55" s="31" t="s">
        <v>329</v>
      </c>
    </row>
    <row r="56" spans="2:19" x14ac:dyDescent="0.25">
      <c r="B56" s="38" t="s">
        <v>277</v>
      </c>
      <c r="C56" s="45">
        <f t="shared" ref="C56:I56" si="66">C51+SUM(C54:C55)</f>
        <v>334250</v>
      </c>
      <c r="D56" s="45">
        <f t="shared" si="66"/>
        <v>288379</v>
      </c>
      <c r="E56" s="45">
        <f t="shared" si="66"/>
        <v>451132</v>
      </c>
      <c r="F56" s="45">
        <f t="shared" si="66"/>
        <v>456156</v>
      </c>
      <c r="G56" s="45">
        <f t="shared" si="66"/>
        <v>91318</v>
      </c>
      <c r="H56" s="45">
        <f t="shared" si="66"/>
        <v>79955</v>
      </c>
      <c r="I56" s="45">
        <f t="shared" si="66"/>
        <v>95336</v>
      </c>
      <c r="J56" s="45">
        <f>J51+SUM(J54:J55)</f>
        <v>85599.536361783161</v>
      </c>
      <c r="K56" s="45">
        <f t="shared" ref="K56:R56" si="67">K51+SUM(K54:K55)</f>
        <v>352208.53636178339</v>
      </c>
      <c r="L56" s="45">
        <f t="shared" si="67"/>
        <v>367815.31257536233</v>
      </c>
      <c r="M56" s="45">
        <f t="shared" si="67"/>
        <v>386673.02971745422</v>
      </c>
      <c r="N56" s="45">
        <f t="shared" si="67"/>
        <v>429037.31285008485</v>
      </c>
      <c r="O56" s="45">
        <f t="shared" si="67"/>
        <v>433828.27563692251</v>
      </c>
      <c r="P56" s="45">
        <f t="shared" si="67"/>
        <v>446954.67419111251</v>
      </c>
      <c r="Q56" s="45">
        <f t="shared" si="67"/>
        <v>471893.77183841675</v>
      </c>
      <c r="R56" s="45">
        <f t="shared" si="67"/>
        <v>495812.27978709404</v>
      </c>
    </row>
    <row r="57" spans="2:19" x14ac:dyDescent="0.25"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</row>
    <row r="58" spans="2:19" x14ac:dyDescent="0.25">
      <c r="B58" s="32" t="s">
        <v>278</v>
      </c>
      <c r="C58" s="43">
        <f>-'Income Statement'!C24</f>
        <v>-82492</v>
      </c>
      <c r="D58" s="43">
        <f>-'Income Statement'!D24</f>
        <v>-70442</v>
      </c>
      <c r="E58" s="43">
        <f>-'Income Statement'!E24</f>
        <v>-110650</v>
      </c>
      <c r="F58" s="43">
        <f>-'Income Statement'!F24</f>
        <v>-113049</v>
      </c>
      <c r="G58" s="43">
        <f>-'Income Statement'!G24</f>
        <v>-22190</v>
      </c>
      <c r="H58" s="43">
        <f>-'Income Statement'!H24</f>
        <v>-18390</v>
      </c>
      <c r="I58" s="43">
        <f>-'Income Statement'!I24</f>
        <v>-24024</v>
      </c>
      <c r="J58" s="44">
        <f>-J56*J18</f>
        <v>-20686.392786415134</v>
      </c>
      <c r="K58" s="44">
        <f>SUM(G58:J58)</f>
        <v>-85290.392786415134</v>
      </c>
      <c r="L58" s="44">
        <f t="shared" ref="L58:R58" si="68">-L56*L18</f>
        <v>-90212.333517581777</v>
      </c>
      <c r="M58" s="44">
        <f t="shared" si="68"/>
        <v>-94719.000120515644</v>
      </c>
      <c r="N58" s="44">
        <f t="shared" si="68"/>
        <v>-105155.72178093615</v>
      </c>
      <c r="O58" s="44">
        <f t="shared" si="68"/>
        <v>-106314.78982450854</v>
      </c>
      <c r="P58" s="44">
        <f t="shared" si="68"/>
        <v>-109284.15663970221</v>
      </c>
      <c r="Q58" s="44">
        <f t="shared" si="68"/>
        <v>-115603.72465362174</v>
      </c>
      <c r="R58" s="44">
        <f t="shared" si="68"/>
        <v>-121434.77786134246</v>
      </c>
    </row>
    <row r="59" spans="2:19" x14ac:dyDescent="0.25"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</row>
    <row r="60" spans="2:19" x14ac:dyDescent="0.25">
      <c r="B60" s="39" t="s">
        <v>279</v>
      </c>
      <c r="C60" s="47">
        <f>C56+C58</f>
        <v>251758</v>
      </c>
      <c r="D60" s="47">
        <f t="shared" ref="D60:J60" si="69">D56+D58</f>
        <v>217937</v>
      </c>
      <c r="E60" s="47">
        <f t="shared" si="69"/>
        <v>340482</v>
      </c>
      <c r="F60" s="47">
        <f t="shared" si="69"/>
        <v>343107</v>
      </c>
      <c r="G60" s="47">
        <f>G56+G58</f>
        <v>69128</v>
      </c>
      <c r="H60" s="47">
        <f t="shared" si="69"/>
        <v>61565</v>
      </c>
      <c r="I60" s="47">
        <f t="shared" si="69"/>
        <v>71312</v>
      </c>
      <c r="J60" s="47">
        <f t="shared" si="69"/>
        <v>64913.143575368027</v>
      </c>
      <c r="K60" s="47">
        <f>K56+K58</f>
        <v>266918.14357536827</v>
      </c>
      <c r="L60" s="47">
        <f t="shared" ref="L60:R60" si="70">L56+L58</f>
        <v>277602.97905778058</v>
      </c>
      <c r="M60" s="47">
        <f t="shared" si="70"/>
        <v>291954.02959693858</v>
      </c>
      <c r="N60" s="47">
        <f t="shared" si="70"/>
        <v>323881.59106914874</v>
      </c>
      <c r="O60" s="47">
        <f t="shared" si="70"/>
        <v>327513.48581241397</v>
      </c>
      <c r="P60" s="47">
        <f t="shared" si="70"/>
        <v>337670.5175514103</v>
      </c>
      <c r="Q60" s="47">
        <f t="shared" si="70"/>
        <v>356290.04718479502</v>
      </c>
      <c r="R60" s="47">
        <f t="shared" si="70"/>
        <v>374377.50192575157</v>
      </c>
    </row>
    <row r="61" spans="2:19" x14ac:dyDescent="0.25">
      <c r="B61" s="34" t="s">
        <v>280</v>
      </c>
      <c r="C61" s="43">
        <v>641</v>
      </c>
      <c r="D61" s="43">
        <v>1030</v>
      </c>
      <c r="E61" s="43">
        <v>696</v>
      </c>
      <c r="F61" s="43">
        <v>-126</v>
      </c>
      <c r="G61" s="43">
        <v>-222</v>
      </c>
      <c r="H61" s="43">
        <v>-282</v>
      </c>
      <c r="I61" s="43">
        <v>-393</v>
      </c>
      <c r="J61" s="44">
        <f>J25*J60</f>
        <v>228.08086092762551</v>
      </c>
      <c r="K61" s="44">
        <f>SUM(G61:J61)</f>
        <v>-668.91913907237449</v>
      </c>
      <c r="L61" s="44">
        <f t="shared" ref="L61:R61" si="71">L25*L60</f>
        <v>1385.805944173871</v>
      </c>
      <c r="M61" s="44">
        <f t="shared" si="71"/>
        <v>1707.1241535525894</v>
      </c>
      <c r="N61" s="44">
        <f t="shared" si="71"/>
        <v>1833.1726082194537</v>
      </c>
      <c r="O61" s="44">
        <f t="shared" si="71"/>
        <v>1636.8498054729557</v>
      </c>
      <c r="P61" s="44">
        <f t="shared" si="71"/>
        <v>1685.1807956392795</v>
      </c>
      <c r="Q61" s="44">
        <f t="shared" si="71"/>
        <v>1887.4610103156001</v>
      </c>
      <c r="R61" s="44">
        <f t="shared" si="71"/>
        <v>2006.1543443546489</v>
      </c>
    </row>
    <row r="62" spans="2:19" x14ac:dyDescent="0.25">
      <c r="B62" s="38" t="s">
        <v>250</v>
      </c>
      <c r="C62" s="45">
        <f>C60-C61</f>
        <v>251117</v>
      </c>
      <c r="D62" s="45">
        <f t="shared" ref="D62:R62" si="72">D60-D61</f>
        <v>216907</v>
      </c>
      <c r="E62" s="45">
        <f t="shared" si="72"/>
        <v>339786</v>
      </c>
      <c r="F62" s="45">
        <f t="shared" si="72"/>
        <v>343233</v>
      </c>
      <c r="G62" s="45">
        <f t="shared" si="72"/>
        <v>69350</v>
      </c>
      <c r="H62" s="45">
        <f t="shared" si="72"/>
        <v>61847</v>
      </c>
      <c r="I62" s="45">
        <f t="shared" si="72"/>
        <v>71705</v>
      </c>
      <c r="J62" s="45">
        <f t="shared" si="72"/>
        <v>64685.062714440399</v>
      </c>
      <c r="K62" s="45">
        <f>K60-K61</f>
        <v>267587.06271444063</v>
      </c>
      <c r="L62" s="45">
        <f t="shared" si="72"/>
        <v>276217.1731136067</v>
      </c>
      <c r="M62" s="45">
        <f t="shared" si="72"/>
        <v>290246.905443386</v>
      </c>
      <c r="N62" s="45">
        <f t="shared" si="72"/>
        <v>322048.4184609293</v>
      </c>
      <c r="O62" s="45">
        <f t="shared" si="72"/>
        <v>325876.63600694103</v>
      </c>
      <c r="P62" s="45">
        <f t="shared" si="72"/>
        <v>335985.33675577102</v>
      </c>
      <c r="Q62" s="45">
        <f t="shared" si="72"/>
        <v>354402.58617447945</v>
      </c>
      <c r="R62" s="45">
        <f t="shared" si="72"/>
        <v>372371.34758139693</v>
      </c>
    </row>
    <row r="63" spans="2:19" x14ac:dyDescent="0.25">
      <c r="B63" s="207" t="s">
        <v>379</v>
      </c>
      <c r="C63" s="208">
        <f>C62/C44</f>
        <v>7.8660906735029054E-2</v>
      </c>
      <c r="D63" s="208">
        <f t="shared" ref="D63:R63" si="73">D62/D44</f>
        <v>6.6880055154993914E-2</v>
      </c>
      <c r="E63" s="208">
        <f t="shared" si="73"/>
        <v>9.2035711760877145E-2</v>
      </c>
      <c r="F63" s="208">
        <f t="shared" si="73"/>
        <v>8.5609592939583701E-2</v>
      </c>
      <c r="G63" s="208">
        <f t="shared" si="73"/>
        <v>7.269628258360597E-2</v>
      </c>
      <c r="H63" s="208">
        <f t="shared" si="73"/>
        <v>6.6121913982817096E-2</v>
      </c>
      <c r="I63" s="208">
        <f t="shared" si="73"/>
        <v>7.3216929596160718E-2</v>
      </c>
      <c r="J63" s="208">
        <f t="shared" si="73"/>
        <v>6.7933739317512981E-2</v>
      </c>
      <c r="K63" s="208">
        <f t="shared" si="73"/>
        <v>7.0033463924727785E-2</v>
      </c>
      <c r="L63" s="208">
        <f t="shared" si="73"/>
        <v>7.2670039259815175E-2</v>
      </c>
      <c r="M63" s="208">
        <f t="shared" si="73"/>
        <v>7.2947195976110546E-2</v>
      </c>
      <c r="N63" s="208">
        <f t="shared" si="73"/>
        <v>7.5942774460603255E-2</v>
      </c>
      <c r="O63" s="208">
        <f t="shared" si="73"/>
        <v>7.4506023678829608E-2</v>
      </c>
      <c r="P63" s="208">
        <f t="shared" si="73"/>
        <v>7.3159240236254613E-2</v>
      </c>
      <c r="Q63" s="208">
        <f t="shared" si="73"/>
        <v>7.4361615797219713E-2</v>
      </c>
      <c r="R63" s="208">
        <f t="shared" si="73"/>
        <v>7.4670727614496168E-2</v>
      </c>
    </row>
    <row r="64" spans="2:19" x14ac:dyDescent="0.25">
      <c r="B64" s="207"/>
      <c r="C64" s="208"/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</row>
    <row r="65" spans="2:19" x14ac:dyDescent="0.25">
      <c r="B65" s="29" t="s">
        <v>281</v>
      </c>
      <c r="C65" s="30">
        <f>C$2</f>
        <v>44196</v>
      </c>
      <c r="D65" s="30">
        <f t="shared" ref="D65:R65" si="74">D$2</f>
        <v>44561</v>
      </c>
      <c r="E65" s="30">
        <f t="shared" si="74"/>
        <v>44926</v>
      </c>
      <c r="F65" s="30">
        <f t="shared" si="74"/>
        <v>45291</v>
      </c>
      <c r="G65" s="48" t="str">
        <f t="shared" si="74"/>
        <v>Q1-24</v>
      </c>
      <c r="H65" s="48" t="str">
        <f t="shared" si="74"/>
        <v>Q2-24</v>
      </c>
      <c r="I65" s="48" t="str">
        <f t="shared" si="74"/>
        <v>Q3-24</v>
      </c>
      <c r="J65" s="48" t="str">
        <f t="shared" si="74"/>
        <v>Q4-24</v>
      </c>
      <c r="K65" s="30">
        <f t="shared" si="74"/>
        <v>45657</v>
      </c>
      <c r="L65" s="30">
        <f t="shared" si="74"/>
        <v>46022</v>
      </c>
      <c r="M65" s="30">
        <f t="shared" si="74"/>
        <v>46387</v>
      </c>
      <c r="N65" s="30">
        <f t="shared" si="74"/>
        <v>46752</v>
      </c>
      <c r="O65" s="30">
        <f t="shared" si="74"/>
        <v>47118</v>
      </c>
      <c r="P65" s="30">
        <f t="shared" si="74"/>
        <v>47483</v>
      </c>
      <c r="Q65" s="30">
        <f t="shared" si="74"/>
        <v>47848</v>
      </c>
      <c r="R65" s="30">
        <f t="shared" si="74"/>
        <v>48213</v>
      </c>
    </row>
    <row r="66" spans="2:19" x14ac:dyDescent="0.25">
      <c r="B66" s="39"/>
      <c r="C66" s="60"/>
      <c r="D66" s="60"/>
      <c r="E66" s="60"/>
      <c r="F66" s="60"/>
      <c r="G66" s="60"/>
      <c r="H66" s="60"/>
      <c r="I66" s="60"/>
      <c r="J66" s="61"/>
      <c r="K66" s="60"/>
      <c r="L66" s="60"/>
      <c r="M66" s="60"/>
      <c r="N66" s="60"/>
      <c r="O66" s="60"/>
      <c r="P66" s="60"/>
      <c r="Q66" s="60"/>
      <c r="R66" s="60"/>
    </row>
    <row r="67" spans="2:19" x14ac:dyDescent="0.25">
      <c r="B67" s="39" t="s">
        <v>282</v>
      </c>
      <c r="C67" s="57"/>
      <c r="D67" s="57"/>
      <c r="E67" s="57"/>
      <c r="F67" s="57"/>
      <c r="G67" s="57"/>
      <c r="H67" s="57"/>
      <c r="I67" s="57"/>
      <c r="J67" s="57"/>
      <c r="K67" s="57"/>
    </row>
    <row r="68" spans="2:19" x14ac:dyDescent="0.25">
      <c r="B68" s="34" t="s">
        <v>283</v>
      </c>
      <c r="C68" s="62">
        <f>'Balance Sheet NWC (Base)'!C7</f>
        <v>125211</v>
      </c>
      <c r="D68" s="62">
        <f>'Balance Sheet NWC (Base)'!D7</f>
        <v>40536</v>
      </c>
      <c r="E68" s="62">
        <f>'Balance Sheet NWC (Base)'!E7</f>
        <v>43537</v>
      </c>
      <c r="F68" s="62">
        <f>'Balance Sheet NWC (Base)'!F7</f>
        <v>50052</v>
      </c>
      <c r="G68" s="62">
        <f>'Balance Sheet NWC (Base)'!G7</f>
        <v>25805</v>
      </c>
      <c r="H68" s="62">
        <f>'Balance Sheet NWC (Base)'!H7</f>
        <v>22227</v>
      </c>
      <c r="I68" s="62">
        <f>'Balance Sheet NWC (Base)'!I7</f>
        <v>25928</v>
      </c>
      <c r="J68" s="55">
        <f>I68+J116</f>
        <v>25000.000000000004</v>
      </c>
      <c r="K68" s="55">
        <f>J68</f>
        <v>25000.000000000004</v>
      </c>
      <c r="L68" s="55">
        <f t="shared" ref="L68:R68" si="75">K68+L116</f>
        <v>25000.000000000036</v>
      </c>
      <c r="M68" s="55">
        <f t="shared" si="75"/>
        <v>24999.999999999967</v>
      </c>
      <c r="N68" s="55">
        <f t="shared" si="75"/>
        <v>25000.000000000055</v>
      </c>
      <c r="O68" s="55">
        <f t="shared" si="75"/>
        <v>25000.000000000007</v>
      </c>
      <c r="P68" s="55">
        <f t="shared" si="75"/>
        <v>25000.000000000022</v>
      </c>
      <c r="Q68" s="55">
        <f t="shared" si="75"/>
        <v>25000.000000000044</v>
      </c>
      <c r="R68" s="55">
        <f t="shared" si="75"/>
        <v>24999.999999999887</v>
      </c>
    </row>
    <row r="69" spans="2:19" x14ac:dyDescent="0.25">
      <c r="B69" s="34" t="s">
        <v>321</v>
      </c>
      <c r="C69" s="62">
        <f>'Balance Sheet NWC (Base)'!C11-'Balance Sheet NWC (Base)'!C7-'Balance Sheet NWC (Base)'!C24+'Balance Sheet NWC (Base)'!C20</f>
        <v>826074</v>
      </c>
      <c r="D69" s="62">
        <f>'Balance Sheet NWC (Base)'!D11-'Balance Sheet NWC (Base)'!D7-'Balance Sheet NWC (Base)'!D24+'Balance Sheet NWC (Base)'!D20</f>
        <v>914214</v>
      </c>
      <c r="E69" s="62">
        <f>'Balance Sheet NWC (Base)'!E11-'Balance Sheet NWC (Base)'!E7-'Balance Sheet NWC (Base)'!E24+'Balance Sheet NWC (Base)'!E20</f>
        <v>1099822</v>
      </c>
      <c r="F69" s="62">
        <f>'Balance Sheet NWC (Base)'!F11-'Balance Sheet NWC (Base)'!F7-'Balance Sheet NWC (Base)'!F24+'Balance Sheet NWC (Base)'!F20</f>
        <v>847960</v>
      </c>
      <c r="G69" s="62">
        <f>'Balance Sheet NWC (Base)'!G11-'Balance Sheet NWC (Base)'!G7-'Balance Sheet NWC (Base)'!G24+'Balance Sheet NWC (Base)'!G20</f>
        <v>861351</v>
      </c>
      <c r="H69" s="62">
        <f>'Balance Sheet NWC (Base)'!H11-'Balance Sheet NWC (Base)'!H7-'Balance Sheet NWC (Base)'!H24+'Balance Sheet NWC (Base)'!H20</f>
        <v>870085</v>
      </c>
      <c r="I69" s="62">
        <f>'Balance Sheet NWC (Base)'!I11-'Balance Sheet NWC (Base)'!I7-'Balance Sheet NWC (Base)'!I24+'Balance Sheet NWC (Base)'!I20</f>
        <v>809743</v>
      </c>
      <c r="J69" s="55">
        <f>J43*J$21*4</f>
        <v>844251.1016862198</v>
      </c>
      <c r="K69" s="55">
        <f>J69</f>
        <v>844251.1016862198</v>
      </c>
      <c r="L69" s="55">
        <f t="shared" ref="L69:R69" si="76">L43*L$21</f>
        <v>821882.36269072571</v>
      </c>
      <c r="M69" s="55">
        <f t="shared" si="76"/>
        <v>860346.45726465166</v>
      </c>
      <c r="N69" s="55">
        <f t="shared" si="76"/>
        <v>923643.38465099444</v>
      </c>
      <c r="O69" s="55">
        <f t="shared" si="76"/>
        <v>948048.40359838505</v>
      </c>
      <c r="P69" s="55">
        <f t="shared" si="76"/>
        <v>996255.36586116813</v>
      </c>
      <c r="Q69" s="55">
        <f t="shared" si="76"/>
        <v>1034987.197265303</v>
      </c>
      <c r="R69" s="55">
        <f t="shared" si="76"/>
        <v>1081893.1637603939</v>
      </c>
    </row>
    <row r="70" spans="2:19" x14ac:dyDescent="0.25">
      <c r="B70" s="34" t="s">
        <v>284</v>
      </c>
      <c r="C70" s="62">
        <f>'Balance Sheet NWC (Base)'!C12+'Balance Sheet NWC (Base)'!C13+'Balance Sheet NWC (Base)'!C14</f>
        <v>1084431</v>
      </c>
      <c r="D70" s="62">
        <f>'Balance Sheet NWC (Base)'!D12+'Balance Sheet NWC (Base)'!D13+'Balance Sheet NWC (Base)'!D14</f>
        <v>1092974</v>
      </c>
      <c r="E70" s="62">
        <f>'Balance Sheet NWC (Base)'!E12+'Balance Sheet NWC (Base)'!E13+'Balance Sheet NWC (Base)'!E14</f>
        <v>1111124</v>
      </c>
      <c r="F70" s="62">
        <f>'Balance Sheet NWC (Base)'!F12+'Balance Sheet NWC (Base)'!F13+'Balance Sheet NWC (Base)'!F14</f>
        <v>1148475</v>
      </c>
      <c r="G70" s="62">
        <f>'Balance Sheet NWC (Base)'!G12+'Balance Sheet NWC (Base)'!G13+'Balance Sheet NWC (Base)'!G14</f>
        <v>1147299</v>
      </c>
      <c r="H70" s="62">
        <f>'Balance Sheet NWC (Base)'!H12+'Balance Sheet NWC (Base)'!H13+'Balance Sheet NWC (Base)'!H14</f>
        <v>1159699</v>
      </c>
      <c r="I70" s="62">
        <f>'Balance Sheet NWC (Base)'!I12+'Balance Sheet NWC (Base)'!I13+'Balance Sheet NWC (Base)'!I14</f>
        <v>1169573</v>
      </c>
      <c r="J70" s="55">
        <f>I70-J101-J94</f>
        <v>1173392.0092998007</v>
      </c>
      <c r="K70" s="55">
        <f>J70</f>
        <v>1173392.0092998007</v>
      </c>
      <c r="L70" s="55">
        <f t="shared" ref="L70:R70" si="77">K70-L101-L94</f>
        <v>1169105.0043318444</v>
      </c>
      <c r="M70" s="55">
        <f t="shared" si="77"/>
        <v>1169225.7388943585</v>
      </c>
      <c r="N70" s="55">
        <f t="shared" si="77"/>
        <v>1173328.9496706075</v>
      </c>
      <c r="O70" s="55">
        <f t="shared" si="77"/>
        <v>1180540.6037426011</v>
      </c>
      <c r="P70" s="55">
        <f t="shared" si="77"/>
        <v>1185649.2922031682</v>
      </c>
      <c r="Q70" s="55">
        <f t="shared" si="77"/>
        <v>1188157.386342136</v>
      </c>
      <c r="R70" s="55">
        <f t="shared" si="77"/>
        <v>1192431.5072272201</v>
      </c>
    </row>
    <row r="71" spans="2:19" x14ac:dyDescent="0.25">
      <c r="B71" s="34" t="s">
        <v>285</v>
      </c>
      <c r="C71" s="62">
        <f>'Balance Sheet NWC (Base)'!C15</f>
        <v>56173</v>
      </c>
      <c r="D71" s="62">
        <f>'Balance Sheet NWC (Base)'!D15</f>
        <v>49011</v>
      </c>
      <c r="E71" s="62">
        <f>'Balance Sheet NWC (Base)'!E15</f>
        <v>64780</v>
      </c>
      <c r="F71" s="62">
        <f>'Balance Sheet NWC (Base)'!F15</f>
        <v>65909</v>
      </c>
      <c r="G71" s="62">
        <f>'Balance Sheet NWC (Base)'!G15</f>
        <v>61076</v>
      </c>
      <c r="H71" s="62">
        <f>'Balance Sheet NWC (Base)'!H15</f>
        <v>61943</v>
      </c>
      <c r="I71" s="62">
        <f>'Balance Sheet NWC (Base)'!I15</f>
        <v>60878</v>
      </c>
      <c r="J71" s="55">
        <f>I71</f>
        <v>60878</v>
      </c>
      <c r="K71" s="55">
        <f>J71</f>
        <v>60878</v>
      </c>
      <c r="L71" s="55">
        <f>K71</f>
        <v>60878</v>
      </c>
      <c r="M71" s="55">
        <f t="shared" ref="M71:R71" si="78">L71</f>
        <v>60878</v>
      </c>
      <c r="N71" s="55">
        <f t="shared" si="78"/>
        <v>60878</v>
      </c>
      <c r="O71" s="55">
        <f t="shared" si="78"/>
        <v>60878</v>
      </c>
      <c r="P71" s="55">
        <f t="shared" si="78"/>
        <v>60878</v>
      </c>
      <c r="Q71" s="55">
        <f t="shared" si="78"/>
        <v>60878</v>
      </c>
      <c r="R71" s="55">
        <f t="shared" si="78"/>
        <v>60878</v>
      </c>
      <c r="S71" s="31" t="s">
        <v>326</v>
      </c>
    </row>
    <row r="72" spans="2:19" x14ac:dyDescent="0.25">
      <c r="B72" s="34" t="s">
        <v>286</v>
      </c>
      <c r="C72" s="62">
        <f>'Balance Sheet NWC (Base)'!C16</f>
        <v>4056</v>
      </c>
      <c r="D72" s="62">
        <f>'Balance Sheet NWC (Base)'!D16</f>
        <v>5885</v>
      </c>
      <c r="E72" s="62">
        <f>'Balance Sheet NWC (Base)'!E16</f>
        <v>9887</v>
      </c>
      <c r="F72" s="62">
        <f>'Balance Sheet NWC (Base)'!F16</f>
        <v>12237</v>
      </c>
      <c r="G72" s="62">
        <f>'Balance Sheet NWC (Base)'!G16</f>
        <v>14383</v>
      </c>
      <c r="H72" s="62">
        <f>'Balance Sheet NWC (Base)'!H16</f>
        <v>14839</v>
      </c>
      <c r="I72" s="62">
        <f>'Balance Sheet NWC (Base)'!I16</f>
        <v>24495</v>
      </c>
      <c r="J72" s="55">
        <f>I72-J97-J102</f>
        <v>27349.652811441694</v>
      </c>
      <c r="K72" s="55">
        <f>J72</f>
        <v>27349.652811441694</v>
      </c>
      <c r="L72" s="55">
        <f t="shared" ref="L72:R72" si="79">K72-L97-L102</f>
        <v>21267.689188750101</v>
      </c>
      <c r="M72" s="55">
        <f t="shared" si="79"/>
        <v>22146.607543384012</v>
      </c>
      <c r="N72" s="55">
        <f t="shared" si="79"/>
        <v>20878.941470027439</v>
      </c>
      <c r="O72" s="55">
        <f t="shared" si="79"/>
        <v>18509.348255624085</v>
      </c>
      <c r="P72" s="55">
        <f t="shared" si="79"/>
        <v>19209.790172708876</v>
      </c>
      <c r="Q72" s="55">
        <f t="shared" si="79"/>
        <v>17239.183896530147</v>
      </c>
      <c r="R72" s="55">
        <f t="shared" si="79"/>
        <v>16360.74185111461</v>
      </c>
    </row>
    <row r="73" spans="2:19" x14ac:dyDescent="0.25">
      <c r="B73" s="38" t="s">
        <v>287</v>
      </c>
      <c r="C73" s="56">
        <f t="shared" ref="C73:L73" si="80">SUM(C68:C72)</f>
        <v>2095945</v>
      </c>
      <c r="D73" s="56">
        <f t="shared" si="80"/>
        <v>2102620</v>
      </c>
      <c r="E73" s="56">
        <f t="shared" si="80"/>
        <v>2329150</v>
      </c>
      <c r="F73" s="56">
        <f t="shared" si="80"/>
        <v>2124633</v>
      </c>
      <c r="G73" s="56">
        <f t="shared" si="80"/>
        <v>2109914</v>
      </c>
      <c r="H73" s="56">
        <f t="shared" si="80"/>
        <v>2128793</v>
      </c>
      <c r="I73" s="56">
        <f t="shared" si="80"/>
        <v>2090617</v>
      </c>
      <c r="J73" s="56">
        <f t="shared" si="80"/>
        <v>2130870.763797462</v>
      </c>
      <c r="K73" s="56">
        <f t="shared" si="80"/>
        <v>2130870.763797462</v>
      </c>
      <c r="L73" s="56">
        <f t="shared" si="80"/>
        <v>2098133.0562113202</v>
      </c>
      <c r="M73" s="56">
        <f t="shared" ref="M73:R73" si="81">SUM(M68:M72)</f>
        <v>2137596.8037023945</v>
      </c>
      <c r="N73" s="56">
        <f t="shared" si="81"/>
        <v>2203729.2757916292</v>
      </c>
      <c r="O73" s="56">
        <f t="shared" si="81"/>
        <v>2232976.3555966103</v>
      </c>
      <c r="P73" s="56">
        <f t="shared" si="81"/>
        <v>2286992.4482370452</v>
      </c>
      <c r="Q73" s="56">
        <f t="shared" si="81"/>
        <v>2326261.7675039689</v>
      </c>
      <c r="R73" s="56">
        <f t="shared" si="81"/>
        <v>2376563.4128387286</v>
      </c>
    </row>
    <row r="74" spans="2:19" x14ac:dyDescent="0.25">
      <c r="C74" s="46"/>
      <c r="D74" s="46"/>
      <c r="E74" s="46"/>
      <c r="F74" s="46"/>
      <c r="G74" s="46"/>
      <c r="H74" s="46"/>
      <c r="I74" s="46"/>
      <c r="J74" s="57"/>
      <c r="K74" s="57"/>
      <c r="L74" s="57"/>
      <c r="M74" s="57"/>
      <c r="N74" s="57"/>
      <c r="O74" s="57"/>
      <c r="P74" s="57"/>
      <c r="Q74" s="57"/>
      <c r="R74" s="57"/>
    </row>
    <row r="75" spans="2:19" x14ac:dyDescent="0.25">
      <c r="B75" s="39" t="s">
        <v>288</v>
      </c>
      <c r="C75" s="46"/>
      <c r="D75" s="46"/>
      <c r="E75" s="46"/>
      <c r="F75" s="46"/>
      <c r="G75" s="46"/>
      <c r="H75" s="46"/>
      <c r="I75" s="46"/>
      <c r="J75" s="57"/>
      <c r="K75" s="57"/>
      <c r="L75" s="57"/>
      <c r="M75" s="57"/>
      <c r="N75" s="57"/>
      <c r="O75" s="57"/>
      <c r="P75" s="57"/>
      <c r="Q75" s="57"/>
      <c r="R75" s="57"/>
    </row>
    <row r="76" spans="2:19" x14ac:dyDescent="0.25">
      <c r="B76" s="34" t="s">
        <v>314</v>
      </c>
      <c r="C76" s="43">
        <v>174200</v>
      </c>
      <c r="D76" s="43">
        <v>204200</v>
      </c>
      <c r="E76" s="43">
        <v>205300</v>
      </c>
      <c r="F76" s="43">
        <v>40300</v>
      </c>
      <c r="G76" s="43">
        <v>125300</v>
      </c>
      <c r="H76" s="43">
        <v>176300</v>
      </c>
      <c r="I76" s="43">
        <v>81300</v>
      </c>
      <c r="J76" s="55">
        <f>I76+J106</f>
        <v>102172.49575561157</v>
      </c>
      <c r="K76" s="55">
        <f>J76</f>
        <v>102172.49575561157</v>
      </c>
      <c r="L76" s="55">
        <f t="shared" ref="L76:R76" si="82">K76+L106</f>
        <v>91516.949650969967</v>
      </c>
      <c r="M76" s="55">
        <f t="shared" si="82"/>
        <v>108190.71721325346</v>
      </c>
      <c r="N76" s="55">
        <f t="shared" si="82"/>
        <v>123066.04228127896</v>
      </c>
      <c r="O76" s="55">
        <f t="shared" si="82"/>
        <v>139441.74312697243</v>
      </c>
      <c r="P76" s="55">
        <f t="shared" si="82"/>
        <v>152840.79815140879</v>
      </c>
      <c r="Q76" s="55">
        <f t="shared" si="82"/>
        <v>162092.73570253872</v>
      </c>
      <c r="R76" s="55">
        <f t="shared" si="82"/>
        <v>179789.44484974636</v>
      </c>
    </row>
    <row r="77" spans="2:19" x14ac:dyDescent="0.25">
      <c r="B77" s="34" t="s">
        <v>371</v>
      </c>
      <c r="C77" s="43">
        <f>'Balance Sheet NWC (Base)'!C20</f>
        <v>122248</v>
      </c>
      <c r="D77" s="43">
        <f>'Balance Sheet NWC (Base)'!D20</f>
        <v>202433</v>
      </c>
      <c r="E77" s="43">
        <f>'Balance Sheet NWC (Base)'!E20</f>
        <v>325680</v>
      </c>
      <c r="F77" s="43">
        <f>'Balance Sheet NWC (Base)'!F20</f>
        <v>229935</v>
      </c>
      <c r="G77" s="43">
        <f>'Balance Sheet NWC (Base)'!G20</f>
        <v>244048</v>
      </c>
      <c r="H77" s="43">
        <f>'Balance Sheet NWC (Base)'!H20</f>
        <v>257829</v>
      </c>
      <c r="I77" s="43">
        <f>'Balance Sheet NWC (Base)'!I20</f>
        <v>206335</v>
      </c>
      <c r="J77" s="55">
        <f>I77</f>
        <v>206335</v>
      </c>
      <c r="K77" s="55">
        <f>J77</f>
        <v>206335</v>
      </c>
      <c r="L77" s="55">
        <f t="shared" ref="L77" si="83">K77</f>
        <v>206335</v>
      </c>
      <c r="M77" s="55">
        <f t="shared" ref="M77" si="84">L77</f>
        <v>206335</v>
      </c>
      <c r="N77" s="55">
        <f t="shared" ref="N77" si="85">M77</f>
        <v>206335</v>
      </c>
      <c r="O77" s="55">
        <f t="shared" ref="O77" si="86">N77</f>
        <v>206335</v>
      </c>
      <c r="P77" s="55">
        <f t="shared" ref="P77" si="87">O77</f>
        <v>206335</v>
      </c>
      <c r="Q77" s="55">
        <f t="shared" ref="Q77" si="88">P77</f>
        <v>206335</v>
      </c>
      <c r="R77" s="55">
        <f t="shared" ref="R77" si="89">Q77</f>
        <v>206335</v>
      </c>
      <c r="S77" s="31" t="s">
        <v>326</v>
      </c>
    </row>
    <row r="78" spans="2:19" x14ac:dyDescent="0.25">
      <c r="B78" s="34" t="s">
        <v>310</v>
      </c>
      <c r="C78" s="43">
        <f>'Balance Sheet NWC (Base)'!C25-C76</f>
        <v>322818</v>
      </c>
      <c r="D78" s="43">
        <f>'Balance Sheet NWC (Base)'!D25-D76</f>
        <v>379416</v>
      </c>
      <c r="E78" s="43">
        <f>'Balance Sheet NWC (Base)'!E25-E76</f>
        <v>263612</v>
      </c>
      <c r="F78" s="43">
        <f>'Balance Sheet NWC (Base)'!F25-F76</f>
        <v>184091</v>
      </c>
      <c r="G78" s="43">
        <f>'Balance Sheet NWC (Base)'!G25-G76</f>
        <v>169130</v>
      </c>
      <c r="H78" s="43">
        <f>'Balance Sheet NWC (Base)'!H25-H76</f>
        <v>118174</v>
      </c>
      <c r="I78" s="43">
        <f>'Balance Sheet NWC (Base)'!I25-I76</f>
        <v>218512</v>
      </c>
      <c r="J78" s="43">
        <f>I78/1.0025</f>
        <v>217967.08229426434</v>
      </c>
      <c r="K78" s="55">
        <f>J78</f>
        <v>217967.08229426434</v>
      </c>
      <c r="L78" s="43">
        <f>K78/1.01</f>
        <v>215808.99237055876</v>
      </c>
      <c r="M78" s="43">
        <f t="shared" ref="M78:R78" si="90">L78/1.01</f>
        <v>213672.26967382056</v>
      </c>
      <c r="N78" s="43">
        <f t="shared" si="90"/>
        <v>211556.70264734709</v>
      </c>
      <c r="O78" s="43">
        <f t="shared" si="90"/>
        <v>209462.08182905652</v>
      </c>
      <c r="P78" s="43">
        <f t="shared" si="90"/>
        <v>207388.19983074904</v>
      </c>
      <c r="Q78" s="43">
        <f t="shared" si="90"/>
        <v>205334.85131757331</v>
      </c>
      <c r="R78" s="43">
        <f t="shared" si="90"/>
        <v>203301.83298769634</v>
      </c>
      <c r="S78" s="31" t="s">
        <v>348</v>
      </c>
    </row>
    <row r="79" spans="2:19" x14ac:dyDescent="0.25">
      <c r="B79" s="34" t="s">
        <v>289</v>
      </c>
      <c r="C79" s="43">
        <f>'Balance Sheet NWC (Base)'!C26</f>
        <v>34379</v>
      </c>
      <c r="D79" s="43">
        <f>'Balance Sheet NWC (Base)'!D26</f>
        <v>36429</v>
      </c>
      <c r="E79" s="43">
        <f>'Balance Sheet NWC (Base)'!E26</f>
        <v>47616</v>
      </c>
      <c r="F79" s="43">
        <f>'Balance Sheet NWC (Base)'!F26</f>
        <v>45924</v>
      </c>
      <c r="G79" s="43">
        <f>'Balance Sheet NWC (Base)'!G26</f>
        <v>41410</v>
      </c>
      <c r="H79" s="43">
        <f>'Balance Sheet NWC (Base)'!H26</f>
        <v>41230</v>
      </c>
      <c r="I79" s="43">
        <f>'Balance Sheet NWC (Base)'!I26</f>
        <v>39532</v>
      </c>
      <c r="J79" s="55">
        <f>I79</f>
        <v>39532</v>
      </c>
      <c r="K79" s="55">
        <f>J79</f>
        <v>39532</v>
      </c>
      <c r="L79" s="55">
        <f t="shared" ref="L79:R79" si="91">K79</f>
        <v>39532</v>
      </c>
      <c r="M79" s="55">
        <f t="shared" si="91"/>
        <v>39532</v>
      </c>
      <c r="N79" s="55">
        <f t="shared" si="91"/>
        <v>39532</v>
      </c>
      <c r="O79" s="55">
        <f t="shared" si="91"/>
        <v>39532</v>
      </c>
      <c r="P79" s="55">
        <f t="shared" si="91"/>
        <v>39532</v>
      </c>
      <c r="Q79" s="55">
        <f t="shared" si="91"/>
        <v>39532</v>
      </c>
      <c r="R79" s="55">
        <f t="shared" si="91"/>
        <v>39532</v>
      </c>
      <c r="S79" s="31" t="s">
        <v>326</v>
      </c>
    </row>
    <row r="80" spans="2:19" x14ac:dyDescent="0.25">
      <c r="B80" s="34" t="s">
        <v>290</v>
      </c>
      <c r="C80" s="43">
        <f>'Balance Sheet NWC (Base)'!C27+'Balance Sheet NWC (Base)'!C28</f>
        <v>121727</v>
      </c>
      <c r="D80" s="43">
        <f>'Balance Sheet NWC (Base)'!D27+'Balance Sheet NWC (Base)'!D28</f>
        <v>118270</v>
      </c>
      <c r="E80" s="43">
        <f>'Balance Sheet NWC (Base)'!E27+'Balance Sheet NWC (Base)'!E28</f>
        <v>124659</v>
      </c>
      <c r="F80" s="43">
        <f>'Balance Sheet NWC (Base)'!F27+'Balance Sheet NWC (Base)'!F28</f>
        <v>131801</v>
      </c>
      <c r="G80" s="43">
        <f>'Balance Sheet NWC (Base)'!G27+'Balance Sheet NWC (Base)'!G28</f>
        <v>131801</v>
      </c>
      <c r="H80" s="43">
        <f>'Balance Sheet NWC (Base)'!H27+'Balance Sheet NWC (Base)'!H28</f>
        <v>131761</v>
      </c>
      <c r="I80" s="43">
        <f>'Balance Sheet NWC (Base)'!I27+'Balance Sheet NWC (Base)'!I28</f>
        <v>130729</v>
      </c>
      <c r="J80" s="55">
        <f>I80</f>
        <v>130729</v>
      </c>
      <c r="K80" s="55">
        <f>J80</f>
        <v>130729</v>
      </c>
      <c r="L80" s="55">
        <f t="shared" ref="L80:R80" si="92">K80</f>
        <v>130729</v>
      </c>
      <c r="M80" s="55">
        <f t="shared" si="92"/>
        <v>130729</v>
      </c>
      <c r="N80" s="55">
        <f t="shared" si="92"/>
        <v>130729</v>
      </c>
      <c r="O80" s="55">
        <f t="shared" si="92"/>
        <v>130729</v>
      </c>
      <c r="P80" s="55">
        <f t="shared" si="92"/>
        <v>130729</v>
      </c>
      <c r="Q80" s="55">
        <f t="shared" si="92"/>
        <v>130729</v>
      </c>
      <c r="R80" s="55">
        <f t="shared" si="92"/>
        <v>130729</v>
      </c>
      <c r="S80" s="31" t="s">
        <v>326</v>
      </c>
    </row>
    <row r="81" spans="2:20" x14ac:dyDescent="0.25">
      <c r="B81" s="38" t="s">
        <v>291</v>
      </c>
      <c r="C81" s="45">
        <f t="shared" ref="C81:R81" si="93">SUM(C76:C80)</f>
        <v>775372</v>
      </c>
      <c r="D81" s="45">
        <f t="shared" si="93"/>
        <v>940748</v>
      </c>
      <c r="E81" s="45">
        <f t="shared" si="93"/>
        <v>966867</v>
      </c>
      <c r="F81" s="45">
        <f t="shared" si="93"/>
        <v>632051</v>
      </c>
      <c r="G81" s="45">
        <f t="shared" si="93"/>
        <v>711689</v>
      </c>
      <c r="H81" s="45">
        <f t="shared" si="93"/>
        <v>725294</v>
      </c>
      <c r="I81" s="45">
        <f t="shared" si="93"/>
        <v>676408</v>
      </c>
      <c r="J81" s="45">
        <f t="shared" si="93"/>
        <v>696735.57804987591</v>
      </c>
      <c r="K81" s="45">
        <f t="shared" si="93"/>
        <v>696735.57804987591</v>
      </c>
      <c r="L81" s="45">
        <f t="shared" si="93"/>
        <v>683921.94202152872</v>
      </c>
      <c r="M81" s="45">
        <f t="shared" si="93"/>
        <v>698458.98688707408</v>
      </c>
      <c r="N81" s="45">
        <f t="shared" si="93"/>
        <v>711218.74492862611</v>
      </c>
      <c r="O81" s="45">
        <f t="shared" si="93"/>
        <v>725499.82495602896</v>
      </c>
      <c r="P81" s="45">
        <f t="shared" si="93"/>
        <v>736824.99798215786</v>
      </c>
      <c r="Q81" s="45">
        <f t="shared" si="93"/>
        <v>744023.58702011209</v>
      </c>
      <c r="R81" s="45">
        <f t="shared" si="93"/>
        <v>759687.2778374427</v>
      </c>
    </row>
    <row r="82" spans="2:20" x14ac:dyDescent="0.25">
      <c r="C82" s="46"/>
      <c r="D82" s="46"/>
      <c r="E82" s="46"/>
      <c r="F82" s="46"/>
      <c r="G82" s="46"/>
      <c r="H82" s="46"/>
      <c r="I82" s="227"/>
      <c r="J82" s="46"/>
      <c r="K82" s="46"/>
      <c r="L82" s="46"/>
      <c r="M82" s="46"/>
      <c r="N82" s="46"/>
      <c r="O82" s="46"/>
      <c r="P82" s="46"/>
      <c r="Q82" s="46"/>
      <c r="R82" s="46"/>
    </row>
    <row r="83" spans="2:20" x14ac:dyDescent="0.25">
      <c r="B83" s="34" t="s">
        <v>292</v>
      </c>
      <c r="C83" s="43">
        <f>'Balance Sheet NWC (Base)'!C40</f>
        <v>1314945</v>
      </c>
      <c r="D83" s="43">
        <f>'Balance Sheet NWC (Base)'!D40</f>
        <v>1150871</v>
      </c>
      <c r="E83" s="43">
        <f>'Balance Sheet NWC (Base)'!E40</f>
        <v>1350434</v>
      </c>
      <c r="F83" s="43">
        <f>'Balance Sheet NWC (Base)'!F40</f>
        <v>1479164</v>
      </c>
      <c r="G83" s="43">
        <f>'Balance Sheet NWC (Base)'!G40</f>
        <v>1385073</v>
      </c>
      <c r="H83" s="43">
        <f>'Balance Sheet NWC (Base)'!H40</f>
        <v>1390509</v>
      </c>
      <c r="I83" s="43">
        <f>'Balance Sheet NWC (Base)'!I40</f>
        <v>1401616</v>
      </c>
      <c r="J83" s="44">
        <f>I83+J93+J108+J109+J111+J114-J61</f>
        <v>1421314.1048866587</v>
      </c>
      <c r="K83" s="44">
        <f>J83</f>
        <v>1421314.1048866587</v>
      </c>
      <c r="L83" s="44">
        <f t="shared" ref="L83:R83" si="94">K83+L93+L108+L109+L111+L114-L61</f>
        <v>1400004.22738469</v>
      </c>
      <c r="M83" s="44">
        <f t="shared" si="94"/>
        <v>1423223.8058566661</v>
      </c>
      <c r="N83" s="44">
        <f t="shared" si="94"/>
        <v>1474763.3472961297</v>
      </c>
      <c r="O83" s="44">
        <f t="shared" si="94"/>
        <v>1488092.4972682346</v>
      </c>
      <c r="P83" s="44">
        <f t="shared" si="94"/>
        <v>1529098.2360869013</v>
      </c>
      <c r="Q83" s="44">
        <f t="shared" si="94"/>
        <v>1559281.5053055554</v>
      </c>
      <c r="R83" s="44">
        <f t="shared" si="94"/>
        <v>1591913.3054786292</v>
      </c>
      <c r="S83" s="53"/>
      <c r="T83" s="54"/>
    </row>
    <row r="84" spans="2:20" x14ac:dyDescent="0.25">
      <c r="B84" s="34" t="s">
        <v>293</v>
      </c>
      <c r="C84" s="43">
        <f>'Balance Sheet NWC (Base)'!C41</f>
        <v>5628</v>
      </c>
      <c r="D84" s="43">
        <f>'Balance Sheet NWC (Base)'!D41</f>
        <v>11001</v>
      </c>
      <c r="E84" s="43">
        <f>'Balance Sheet NWC (Base)'!E41</f>
        <v>11849</v>
      </c>
      <c r="F84" s="43">
        <f>'Balance Sheet NWC (Base)'!F41</f>
        <v>13418</v>
      </c>
      <c r="G84" s="43">
        <f>'Balance Sheet NWC (Base)'!G41</f>
        <v>13152</v>
      </c>
      <c r="H84" s="43">
        <f>'Balance Sheet NWC (Base)'!H41</f>
        <v>12990</v>
      </c>
      <c r="I84" s="43">
        <f>'Balance Sheet NWC (Base)'!I41</f>
        <v>12593</v>
      </c>
      <c r="J84" s="44">
        <f>I84+J61+J110</f>
        <v>12821.080860927625</v>
      </c>
      <c r="K84" s="44">
        <f>J84</f>
        <v>12821.080860927625</v>
      </c>
      <c r="L84" s="44">
        <f t="shared" ref="L84:R84" si="95">K84+L61+L110</f>
        <v>14206.886805101496</v>
      </c>
      <c r="M84" s="44">
        <f t="shared" si="95"/>
        <v>15914.010958654086</v>
      </c>
      <c r="N84" s="44">
        <f t="shared" si="95"/>
        <v>17747.18356687354</v>
      </c>
      <c r="O84" s="44">
        <f t="shared" si="95"/>
        <v>19384.033372346497</v>
      </c>
      <c r="P84" s="44">
        <f t="shared" si="95"/>
        <v>21069.214167985778</v>
      </c>
      <c r="Q84" s="44">
        <f t="shared" si="95"/>
        <v>22956.675178301379</v>
      </c>
      <c r="R84" s="44">
        <f t="shared" si="95"/>
        <v>24962.829522656029</v>
      </c>
    </row>
    <row r="85" spans="2:20" x14ac:dyDescent="0.25">
      <c r="B85" s="38" t="s">
        <v>294</v>
      </c>
      <c r="C85" s="45">
        <f>SUM(C83:C84)</f>
        <v>1320573</v>
      </c>
      <c r="D85" s="45">
        <f>SUM(D83:D84)</f>
        <v>1161872</v>
      </c>
      <c r="E85" s="45">
        <f>SUM(E83:E84)</f>
        <v>1362283</v>
      </c>
      <c r="F85" s="45">
        <f>SUM(F83:F84)</f>
        <v>1492582</v>
      </c>
      <c r="G85" s="45">
        <f t="shared" ref="G85:R85" si="96">SUM(G83:G84)</f>
        <v>1398225</v>
      </c>
      <c r="H85" s="45">
        <f t="shared" si="96"/>
        <v>1403499</v>
      </c>
      <c r="I85" s="45">
        <f t="shared" si="96"/>
        <v>1414209</v>
      </c>
      <c r="J85" s="45">
        <f t="shared" si="96"/>
        <v>1434135.1857475864</v>
      </c>
      <c r="K85" s="45">
        <f t="shared" si="96"/>
        <v>1434135.1857475864</v>
      </c>
      <c r="L85" s="45">
        <f t="shared" si="96"/>
        <v>1414211.1141897915</v>
      </c>
      <c r="M85" s="45">
        <f t="shared" si="96"/>
        <v>1439137.8168153202</v>
      </c>
      <c r="N85" s="45">
        <f t="shared" si="96"/>
        <v>1492510.5308630031</v>
      </c>
      <c r="O85" s="45">
        <f t="shared" si="96"/>
        <v>1507476.5306405812</v>
      </c>
      <c r="P85" s="45">
        <f t="shared" si="96"/>
        <v>1550167.4502548871</v>
      </c>
      <c r="Q85" s="45">
        <f t="shared" si="96"/>
        <v>1582238.1804838567</v>
      </c>
      <c r="R85" s="45">
        <f t="shared" si="96"/>
        <v>1616876.1350012852</v>
      </c>
    </row>
    <row r="86" spans="2:20" x14ac:dyDescent="0.25">
      <c r="C86" s="46"/>
      <c r="D86" s="46"/>
      <c r="E86" s="46"/>
      <c r="F86" s="46"/>
      <c r="G86" s="46"/>
      <c r="H86" s="46"/>
      <c r="I86" s="121"/>
      <c r="J86" s="49"/>
      <c r="K86" s="46"/>
      <c r="L86" s="46"/>
      <c r="M86" s="46"/>
      <c r="N86" s="46"/>
      <c r="O86" s="46"/>
      <c r="P86" s="46"/>
      <c r="Q86" s="46"/>
      <c r="R86" s="46"/>
    </row>
    <row r="87" spans="2:20" x14ac:dyDescent="0.25">
      <c r="B87" s="39" t="s">
        <v>295</v>
      </c>
      <c r="C87" s="47">
        <f t="shared" ref="C87:R87" si="97">C81+C85</f>
        <v>2095945</v>
      </c>
      <c r="D87" s="47">
        <f t="shared" si="97"/>
        <v>2102620</v>
      </c>
      <c r="E87" s="47">
        <f t="shared" si="97"/>
        <v>2329150</v>
      </c>
      <c r="F87" s="47">
        <f t="shared" si="97"/>
        <v>2124633</v>
      </c>
      <c r="G87" s="47">
        <f t="shared" si="97"/>
        <v>2109914</v>
      </c>
      <c r="H87" s="47">
        <f t="shared" si="97"/>
        <v>2128793</v>
      </c>
      <c r="I87" s="47">
        <f t="shared" si="97"/>
        <v>2090617</v>
      </c>
      <c r="J87" s="47">
        <f t="shared" si="97"/>
        <v>2130870.7637974625</v>
      </c>
      <c r="K87" s="47">
        <f t="shared" si="97"/>
        <v>2130870.7637974625</v>
      </c>
      <c r="L87" s="47">
        <f t="shared" si="97"/>
        <v>2098133.0562113202</v>
      </c>
      <c r="M87" s="47">
        <f t="shared" si="97"/>
        <v>2137596.8037023945</v>
      </c>
      <c r="N87" s="47">
        <f t="shared" si="97"/>
        <v>2203729.2757916292</v>
      </c>
      <c r="O87" s="47">
        <f t="shared" si="97"/>
        <v>2232976.3555966103</v>
      </c>
      <c r="P87" s="47">
        <f t="shared" si="97"/>
        <v>2286992.4482370447</v>
      </c>
      <c r="Q87" s="47">
        <f t="shared" si="97"/>
        <v>2326261.7675039689</v>
      </c>
      <c r="R87" s="47">
        <f t="shared" si="97"/>
        <v>2376563.4128387282</v>
      </c>
    </row>
    <row r="88" spans="2:20" x14ac:dyDescent="0.25">
      <c r="C88" s="46"/>
      <c r="D88" s="46"/>
      <c r="E88" s="46"/>
      <c r="F88" s="46"/>
      <c r="G88" s="46"/>
      <c r="H88" s="46"/>
      <c r="I88" s="46"/>
      <c r="J88" s="46"/>
      <c r="K88" s="46"/>
    </row>
    <row r="89" spans="2:20" x14ac:dyDescent="0.25">
      <c r="B89" s="32" t="s">
        <v>296</v>
      </c>
      <c r="C89" s="44">
        <f t="shared" ref="C89:R89" si="98">C73-C87</f>
        <v>0</v>
      </c>
      <c r="D89" s="44">
        <f t="shared" si="98"/>
        <v>0</v>
      </c>
      <c r="E89" s="44">
        <f t="shared" si="98"/>
        <v>0</v>
      </c>
      <c r="F89" s="44">
        <f t="shared" si="98"/>
        <v>0</v>
      </c>
      <c r="G89" s="44">
        <f t="shared" si="98"/>
        <v>0</v>
      </c>
      <c r="H89" s="44">
        <f t="shared" si="98"/>
        <v>0</v>
      </c>
      <c r="I89" s="44">
        <f t="shared" si="98"/>
        <v>0</v>
      </c>
      <c r="J89" s="44">
        <f t="shared" si="98"/>
        <v>0</v>
      </c>
      <c r="K89" s="44">
        <f t="shared" si="98"/>
        <v>0</v>
      </c>
      <c r="L89" s="44">
        <f t="shared" si="98"/>
        <v>0</v>
      </c>
      <c r="M89" s="44">
        <f t="shared" si="98"/>
        <v>0</v>
      </c>
      <c r="N89" s="44">
        <f t="shared" si="98"/>
        <v>0</v>
      </c>
      <c r="O89" s="44">
        <f t="shared" si="98"/>
        <v>0</v>
      </c>
      <c r="P89" s="44">
        <f t="shared" si="98"/>
        <v>0</v>
      </c>
      <c r="Q89" s="44">
        <f t="shared" si="98"/>
        <v>0</v>
      </c>
      <c r="R89" s="44">
        <f t="shared" si="98"/>
        <v>0</v>
      </c>
    </row>
    <row r="90" spans="2:20" x14ac:dyDescent="0.25">
      <c r="C90" s="46"/>
      <c r="D90" s="46"/>
      <c r="E90" s="46"/>
      <c r="F90" s="46"/>
      <c r="G90" s="46"/>
      <c r="H90" s="46"/>
      <c r="I90" s="46"/>
      <c r="J90" s="46"/>
      <c r="K90" s="46"/>
    </row>
    <row r="91" spans="2:20" x14ac:dyDescent="0.25">
      <c r="B91" s="29" t="s">
        <v>248</v>
      </c>
      <c r="C91" s="30">
        <f>C$2</f>
        <v>44196</v>
      </c>
      <c r="D91" s="30">
        <f t="shared" ref="D91:R91" si="99">D$2</f>
        <v>44561</v>
      </c>
      <c r="E91" s="30">
        <f t="shared" si="99"/>
        <v>44926</v>
      </c>
      <c r="F91" s="30">
        <f t="shared" si="99"/>
        <v>45291</v>
      </c>
      <c r="G91" s="48" t="str">
        <f t="shared" si="99"/>
        <v>Q1-24</v>
      </c>
      <c r="H91" s="48" t="str">
        <f t="shared" si="99"/>
        <v>Q2-24</v>
      </c>
      <c r="I91" s="48" t="str">
        <f t="shared" si="99"/>
        <v>Q3-24</v>
      </c>
      <c r="J91" s="48" t="str">
        <f t="shared" si="99"/>
        <v>Q4-24</v>
      </c>
      <c r="K91" s="30">
        <f t="shared" si="99"/>
        <v>45657</v>
      </c>
      <c r="L91" s="30">
        <f t="shared" si="99"/>
        <v>46022</v>
      </c>
      <c r="M91" s="30">
        <f t="shared" si="99"/>
        <v>46387</v>
      </c>
      <c r="N91" s="30">
        <f t="shared" si="99"/>
        <v>46752</v>
      </c>
      <c r="O91" s="30">
        <f t="shared" si="99"/>
        <v>47118</v>
      </c>
      <c r="P91" s="30">
        <f t="shared" si="99"/>
        <v>47483</v>
      </c>
      <c r="Q91" s="30">
        <f t="shared" si="99"/>
        <v>47848</v>
      </c>
      <c r="R91" s="30">
        <f t="shared" si="99"/>
        <v>48213</v>
      </c>
    </row>
    <row r="92" spans="2:20" x14ac:dyDescent="0.25">
      <c r="B92" s="39" t="s">
        <v>249</v>
      </c>
      <c r="C92" s="46"/>
      <c r="D92" s="46"/>
      <c r="E92" s="46"/>
      <c r="F92" s="46"/>
      <c r="G92" s="46"/>
      <c r="H92" s="46"/>
      <c r="I92" s="46"/>
      <c r="J92" s="46"/>
      <c r="K92" s="46"/>
    </row>
    <row r="93" spans="2:20" x14ac:dyDescent="0.25">
      <c r="B93" s="40" t="s">
        <v>250</v>
      </c>
      <c r="C93" s="44">
        <f t="shared" ref="C93:J93" si="100">C60</f>
        <v>251758</v>
      </c>
      <c r="D93" s="44">
        <f t="shared" si="100"/>
        <v>217937</v>
      </c>
      <c r="E93" s="44">
        <f t="shared" si="100"/>
        <v>340482</v>
      </c>
      <c r="F93" s="44">
        <f t="shared" si="100"/>
        <v>343107</v>
      </c>
      <c r="G93" s="44">
        <f t="shared" si="100"/>
        <v>69128</v>
      </c>
      <c r="H93" s="44">
        <f t="shared" si="100"/>
        <v>61565</v>
      </c>
      <c r="I93" s="44">
        <f t="shared" si="100"/>
        <v>71312</v>
      </c>
      <c r="J93" s="44">
        <f t="shared" si="100"/>
        <v>64913.143575368027</v>
      </c>
      <c r="K93" s="44">
        <f t="shared" ref="K93:K96" si="101">SUM(G93:J93)</f>
        <v>266918.14357536804</v>
      </c>
      <c r="L93" s="44">
        <f t="shared" ref="L93:R93" si="102">L60</f>
        <v>277602.97905778058</v>
      </c>
      <c r="M93" s="44">
        <f t="shared" si="102"/>
        <v>291954.02959693858</v>
      </c>
      <c r="N93" s="44">
        <f t="shared" si="102"/>
        <v>323881.59106914874</v>
      </c>
      <c r="O93" s="44">
        <f t="shared" si="102"/>
        <v>327513.48581241397</v>
      </c>
      <c r="P93" s="44">
        <f t="shared" si="102"/>
        <v>337670.5175514103</v>
      </c>
      <c r="Q93" s="44">
        <f t="shared" si="102"/>
        <v>356290.04718479502</v>
      </c>
      <c r="R93" s="44">
        <f t="shared" si="102"/>
        <v>374377.50192575157</v>
      </c>
    </row>
    <row r="94" spans="2:20" x14ac:dyDescent="0.25">
      <c r="B94" s="41" t="s">
        <v>251</v>
      </c>
      <c r="C94" s="43">
        <f>'Cash Flows'!C8+'Cash Flows'!C9</f>
        <v>69079</v>
      </c>
      <c r="D94" s="43">
        <f>'Cash Flows'!D8+'Cash Flows'!D9</f>
        <v>68846</v>
      </c>
      <c r="E94" s="43">
        <f>'Cash Flows'!E8+'Cash Flows'!E9</f>
        <v>70376</v>
      </c>
      <c r="F94" s="43">
        <f>'Cash Flows'!F8+'Cash Flows'!F9</f>
        <v>75129</v>
      </c>
      <c r="G94" s="43">
        <f>'Cash Flows'!G8+'Cash Flows'!G9</f>
        <v>19782</v>
      </c>
      <c r="H94" s="43">
        <f>'Cash Flows'!H8+'Cash Flows'!H9</f>
        <v>21293</v>
      </c>
      <c r="I94" s="43">
        <f>'Cash Flows'!I8+'Cash Flows'!I9</f>
        <v>20650</v>
      </c>
      <c r="J94" s="44">
        <f>J44*J23</f>
        <v>20499.369202312431</v>
      </c>
      <c r="K94" s="44">
        <f t="shared" si="101"/>
        <v>82224.369202312431</v>
      </c>
      <c r="L94" s="44">
        <f t="shared" ref="L94:R94" si="103">L44*L23</f>
        <v>77682.278643183861</v>
      </c>
      <c r="M94" s="44">
        <f t="shared" si="103"/>
        <v>80361.976994712619</v>
      </c>
      <c r="N94" s="44">
        <f t="shared" si="103"/>
        <v>84775.858977111347</v>
      </c>
      <c r="O94" s="44">
        <f t="shared" si="103"/>
        <v>88250.32889722861</v>
      </c>
      <c r="P94" s="44">
        <f t="shared" si="103"/>
        <v>93983.779032580846</v>
      </c>
      <c r="Q94" s="44">
        <f t="shared" si="103"/>
        <v>96526.603670199576</v>
      </c>
      <c r="R94" s="44">
        <f t="shared" si="103"/>
        <v>100817.28807244502</v>
      </c>
    </row>
    <row r="95" spans="2:20" x14ac:dyDescent="0.25">
      <c r="B95" s="41" t="s">
        <v>340</v>
      </c>
      <c r="C95" s="43">
        <f>'Cash Flows'!C14+'Cash Flows'!C21+'Cash Flows'!C22+'Cash Flows'!C23+'Cash Flows'!C25+'Cash Flows'!C26</f>
        <v>38929</v>
      </c>
      <c r="D95" s="43">
        <f>'Cash Flows'!D14+'Cash Flows'!D21+'Cash Flows'!D22+'Cash Flows'!D23+'Cash Flows'!D25+'Cash Flows'!D26</f>
        <v>-76776</v>
      </c>
      <c r="E95" s="43">
        <f>'Cash Flows'!E14+'Cash Flows'!E21+'Cash Flows'!E22+'Cash Flows'!E23+'Cash Flows'!E25+'Cash Flows'!E26</f>
        <v>-194459</v>
      </c>
      <c r="F95" s="43">
        <f>'Cash Flows'!F14+'Cash Flows'!F21+'Cash Flows'!F22+'Cash Flows'!F23+'Cash Flows'!F25+'Cash Flows'!F26</f>
        <v>245281</v>
      </c>
      <c r="G95" s="43">
        <f>'Cash Flows'!G14+'Cash Flows'!G21+'Cash Flows'!G22+'Cash Flows'!G23+'Cash Flows'!G25+'Cash Flows'!G26</f>
        <v>-13193</v>
      </c>
      <c r="H95" s="43">
        <f>'Cash Flows'!H14+'Cash Flows'!H21+'Cash Flows'!H22+'Cash Flows'!H23+'Cash Flows'!H25+'Cash Flows'!H26</f>
        <v>-5072</v>
      </c>
      <c r="I95" s="43">
        <f>'Cash Flows'!I14+'Cash Flows'!I21+'Cash Flows'!I22+'Cash Flows'!I23+'Cash Flows'!I25+'Cash Flows'!I26</f>
        <v>56945</v>
      </c>
      <c r="J95" s="44">
        <f>I69-J69</f>
        <v>-34508.101686219801</v>
      </c>
      <c r="K95" s="44">
        <f>SUM(G95:J95)</f>
        <v>4171.8983137801988</v>
      </c>
      <c r="L95" s="44">
        <f t="shared" ref="L95:R95" si="104">K69-L69</f>
        <v>22368.738995494088</v>
      </c>
      <c r="M95" s="44">
        <f t="shared" si="104"/>
        <v>-38464.094573925948</v>
      </c>
      <c r="N95" s="44">
        <f t="shared" si="104"/>
        <v>-63296.927386342781</v>
      </c>
      <c r="O95" s="44">
        <f t="shared" si="104"/>
        <v>-24405.018947390607</v>
      </c>
      <c r="P95" s="44">
        <f t="shared" si="104"/>
        <v>-48206.962262783083</v>
      </c>
      <c r="Q95" s="44">
        <f t="shared" si="104"/>
        <v>-38731.831404134864</v>
      </c>
      <c r="R95" s="44">
        <f t="shared" si="104"/>
        <v>-46905.966495090863</v>
      </c>
      <c r="S95" s="44"/>
    </row>
    <row r="96" spans="2:20" x14ac:dyDescent="0.25">
      <c r="B96" s="41" t="s">
        <v>322</v>
      </c>
      <c r="C96" s="43">
        <f>'Cash Flows'!C10+'Cash Flows'!C15+'Cash Flows'!C24</f>
        <v>512</v>
      </c>
      <c r="D96" s="43">
        <f>'Cash Flows'!D10+'Cash Flows'!D15+'Cash Flows'!D24</f>
        <v>1601</v>
      </c>
      <c r="E96" s="43">
        <f>'Cash Flows'!E10+'Cash Flows'!E15+'Cash Flows'!E24</f>
        <v>43</v>
      </c>
      <c r="F96" s="43">
        <f>'Cash Flows'!F10+'Cash Flows'!F15+'Cash Flows'!F24</f>
        <v>-207</v>
      </c>
      <c r="G96" s="43">
        <f>'Cash Flows'!G10+'Cash Flows'!G15+'Cash Flows'!G24</f>
        <v>-158</v>
      </c>
      <c r="H96" s="43">
        <f>'Cash Flows'!H10+'Cash Flows'!H15+'Cash Flows'!H24</f>
        <v>-56</v>
      </c>
      <c r="I96" s="43">
        <f>'Cash Flows'!I10+'Cash Flows'!I15+'Cash Flows'!I24</f>
        <v>-81</v>
      </c>
      <c r="J96" s="44">
        <f>I71-J71+J79-I79</f>
        <v>0</v>
      </c>
      <c r="K96" s="44">
        <f t="shared" si="101"/>
        <v>-295</v>
      </c>
      <c r="L96" s="44">
        <f t="shared" ref="L96:R96" si="105">K71-L71+L79-K79</f>
        <v>0</v>
      </c>
      <c r="M96" s="44">
        <f t="shared" si="105"/>
        <v>0</v>
      </c>
      <c r="N96" s="44">
        <f t="shared" si="105"/>
        <v>0</v>
      </c>
      <c r="O96" s="44">
        <f t="shared" si="105"/>
        <v>0</v>
      </c>
      <c r="P96" s="44">
        <f t="shared" si="105"/>
        <v>0</v>
      </c>
      <c r="Q96" s="44">
        <f t="shared" si="105"/>
        <v>0</v>
      </c>
      <c r="R96" s="44">
        <f t="shared" si="105"/>
        <v>0</v>
      </c>
      <c r="S96" s="44"/>
    </row>
    <row r="97" spans="2:19" x14ac:dyDescent="0.25">
      <c r="B97" s="41" t="s">
        <v>260</v>
      </c>
      <c r="C97" s="43">
        <f>SUM('Cash Flows'!C11:C13,'Cash Flows'!C16:C19)</f>
        <v>36461</v>
      </c>
      <c r="D97" s="43">
        <f>SUM('Cash Flows'!D11:D13,'Cash Flows'!D16:D19)</f>
        <v>12854</v>
      </c>
      <c r="E97" s="43">
        <f>SUM('Cash Flows'!E11:E13,'Cash Flows'!E16:E19)</f>
        <v>29741</v>
      </c>
      <c r="F97" s="43">
        <f>SUM('Cash Flows'!F11:F13,'Cash Flows'!F16:F19)</f>
        <v>36272</v>
      </c>
      <c r="G97" s="43">
        <f>SUM('Cash Flows'!G11:G13,'Cash Flows'!G16:G19)</f>
        <v>5609</v>
      </c>
      <c r="H97" s="43">
        <f>SUM('Cash Flows'!H11:H13,'Cash Flows'!H16:H19)</f>
        <v>1013</v>
      </c>
      <c r="I97" s="43">
        <f>SUM('Cash Flows'!I11:I13,'Cash Flows'!I16:I19)</f>
        <v>-5304</v>
      </c>
      <c r="J97" s="44">
        <f>J44*J24</f>
        <v>490.95234928381001</v>
      </c>
      <c r="K97" s="44">
        <f>SUM(G97:J97)</f>
        <v>1808.95234928381</v>
      </c>
      <c r="L97" s="44">
        <f t="shared" ref="L97:R97" si="106">L44*L24</f>
        <v>25056.60510735547</v>
      </c>
      <c r="M97" s="44">
        <f t="shared" si="106"/>
        <v>22386.433696176791</v>
      </c>
      <c r="N97" s="44">
        <f t="shared" si="106"/>
        <v>25269.907871078227</v>
      </c>
      <c r="O97" s="44">
        <f t="shared" si="106"/>
        <v>24229.156543293066</v>
      </c>
      <c r="P97" s="44">
        <f t="shared" si="106"/>
        <v>22219.024105439523</v>
      </c>
      <c r="Q97" s="44">
        <f t="shared" si="106"/>
        <v>27218.337767065681</v>
      </c>
      <c r="R97" s="44">
        <f t="shared" si="106"/>
        <v>27601.150511201336</v>
      </c>
    </row>
    <row r="98" spans="2:19" x14ac:dyDescent="0.25">
      <c r="B98" s="38" t="s">
        <v>249</v>
      </c>
      <c r="C98" s="45">
        <f>SUM(C93:C97)</f>
        <v>396739</v>
      </c>
      <c r="D98" s="45">
        <f t="shared" ref="D98:R98" si="107">SUM(D93:D97)</f>
        <v>224462</v>
      </c>
      <c r="E98" s="45">
        <f t="shared" si="107"/>
        <v>246183</v>
      </c>
      <c r="F98" s="45">
        <f t="shared" si="107"/>
        <v>699582</v>
      </c>
      <c r="G98" s="45">
        <f t="shared" si="107"/>
        <v>81168</v>
      </c>
      <c r="H98" s="45">
        <f t="shared" si="107"/>
        <v>78743</v>
      </c>
      <c r="I98" s="45">
        <f t="shared" si="107"/>
        <v>143522</v>
      </c>
      <c r="J98" s="45">
        <f t="shared" si="107"/>
        <v>51395.36344074447</v>
      </c>
      <c r="K98" s="45">
        <f t="shared" si="107"/>
        <v>354828.36344074446</v>
      </c>
      <c r="L98" s="45">
        <f t="shared" si="107"/>
        <v>402710.601803814</v>
      </c>
      <c r="M98" s="45">
        <f t="shared" si="107"/>
        <v>356238.34571390203</v>
      </c>
      <c r="N98" s="45">
        <f t="shared" si="107"/>
        <v>370630.43053099554</v>
      </c>
      <c r="O98" s="45">
        <f t="shared" si="107"/>
        <v>415587.95230554498</v>
      </c>
      <c r="P98" s="45">
        <f t="shared" si="107"/>
        <v>405666.35842664761</v>
      </c>
      <c r="Q98" s="45">
        <f t="shared" si="107"/>
        <v>441303.15721792541</v>
      </c>
      <c r="R98" s="45">
        <f t="shared" si="107"/>
        <v>455889.97401430708</v>
      </c>
    </row>
    <row r="99" spans="2:19" x14ac:dyDescent="0.25"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</row>
    <row r="100" spans="2:19" x14ac:dyDescent="0.25">
      <c r="B100" s="39" t="s">
        <v>252</v>
      </c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9" x14ac:dyDescent="0.25">
      <c r="B101" s="41" t="s">
        <v>253</v>
      </c>
      <c r="C101" s="43">
        <f>'Cash Flows'!C30</f>
        <v>-46991</v>
      </c>
      <c r="D101" s="43">
        <f>'Cash Flows'!D30</f>
        <v>-53746</v>
      </c>
      <c r="E101" s="43">
        <f>'Cash Flows'!E30</f>
        <v>-61373</v>
      </c>
      <c r="F101" s="43">
        <f>'Cash Flows'!F30</f>
        <v>-92493</v>
      </c>
      <c r="G101" s="43">
        <f>'Cash Flows'!G30</f>
        <v>-18433</v>
      </c>
      <c r="H101" s="43">
        <f>'Cash Flows'!H30</f>
        <v>-25350</v>
      </c>
      <c r="I101" s="43">
        <f>'Cash Flows'!I30</f>
        <v>-29571</v>
      </c>
      <c r="J101" s="44">
        <f>-J44*J22</f>
        <v>-24318.378502113228</v>
      </c>
      <c r="K101" s="44">
        <f>SUM(G101:J101)</f>
        <v>-97672.378502113221</v>
      </c>
      <c r="L101" s="44">
        <f t="shared" ref="L101:R101" si="108">-L44*L22</f>
        <v>-73395.273675227421</v>
      </c>
      <c r="M101" s="44">
        <f t="shared" si="108"/>
        <v>-80482.711557226823</v>
      </c>
      <c r="N101" s="44">
        <f t="shared" si="108"/>
        <v>-88879.069753360265</v>
      </c>
      <c r="O101" s="44">
        <f t="shared" si="108"/>
        <v>-95461.98296922227</v>
      </c>
      <c r="P101" s="44">
        <f t="shared" si="108"/>
        <v>-99092.467493147793</v>
      </c>
      <c r="Q101" s="44">
        <f t="shared" si="108"/>
        <v>-99034.697809167439</v>
      </c>
      <c r="R101" s="44">
        <f t="shared" si="108"/>
        <v>-105091.40895752906</v>
      </c>
    </row>
    <row r="102" spans="2:19" x14ac:dyDescent="0.25">
      <c r="B102" s="41" t="s">
        <v>254</v>
      </c>
      <c r="C102" s="43">
        <f>'Cash Flows'!C32+'Cash Flows'!C33</f>
        <v>-2286</v>
      </c>
      <c r="D102" s="43">
        <f>'Cash Flows'!D32+'Cash Flows'!D33</f>
        <v>-22000</v>
      </c>
      <c r="E102" s="43">
        <f>'Cash Flows'!E32+'Cash Flows'!E33</f>
        <v>-33120</v>
      </c>
      <c r="F102" s="43">
        <f>'Cash Flows'!F32+'Cash Flows'!F33</f>
        <v>-20182</v>
      </c>
      <c r="G102" s="43">
        <f>'Cash Flows'!G32+'Cash Flows'!G33</f>
        <v>0</v>
      </c>
      <c r="H102" s="43">
        <f>'Cash Flows'!H32+'Cash Flows'!H33</f>
        <v>-9868</v>
      </c>
      <c r="I102" s="43">
        <f>'Cash Flows'!I32+'Cash Flows'!I33</f>
        <v>9</v>
      </c>
      <c r="J102" s="55">
        <f>-J25*J43</f>
        <v>-3345.6051607255031</v>
      </c>
      <c r="K102" s="55">
        <f>SUM(G102:J102)</f>
        <v>-13204.605160725503</v>
      </c>
      <c r="L102" s="55">
        <f t="shared" ref="L102:R102" si="109">-L25*L43</f>
        <v>-18974.641484663876</v>
      </c>
      <c r="M102" s="55">
        <f t="shared" si="109"/>
        <v>-23265.352050810703</v>
      </c>
      <c r="N102" s="55">
        <f t="shared" si="109"/>
        <v>-24002.241797721654</v>
      </c>
      <c r="O102" s="55">
        <f t="shared" si="109"/>
        <v>-21859.563328889712</v>
      </c>
      <c r="P102" s="55">
        <f t="shared" si="109"/>
        <v>-22919.466022524313</v>
      </c>
      <c r="Q102" s="55">
        <f t="shared" si="109"/>
        <v>-25247.731490886952</v>
      </c>
      <c r="R102" s="55">
        <f t="shared" si="109"/>
        <v>-26722.708465785799</v>
      </c>
    </row>
    <row r="103" spans="2:19" x14ac:dyDescent="0.25">
      <c r="B103" s="38" t="s">
        <v>252</v>
      </c>
      <c r="C103" s="45">
        <f>SUM(C101:C102)</f>
        <v>-49277</v>
      </c>
      <c r="D103" s="45">
        <f>SUM(D101:D102)</f>
        <v>-75746</v>
      </c>
      <c r="E103" s="45">
        <f>SUM(E101:E102)</f>
        <v>-94493</v>
      </c>
      <c r="F103" s="45">
        <f>SUM(F101:F102)</f>
        <v>-112675</v>
      </c>
      <c r="G103" s="45">
        <f t="shared" ref="G103:R103" si="110">SUM(G101:G102)</f>
        <v>-18433</v>
      </c>
      <c r="H103" s="45">
        <f t="shared" si="110"/>
        <v>-35218</v>
      </c>
      <c r="I103" s="45">
        <f t="shared" si="110"/>
        <v>-29562</v>
      </c>
      <c r="J103" s="45">
        <f t="shared" si="110"/>
        <v>-27663.983662838731</v>
      </c>
      <c r="K103" s="45">
        <f t="shared" si="110"/>
        <v>-110876.98366283873</v>
      </c>
      <c r="L103" s="45">
        <f t="shared" si="110"/>
        <v>-92369.915159891301</v>
      </c>
      <c r="M103" s="45">
        <f t="shared" si="110"/>
        <v>-103748.06360803753</v>
      </c>
      <c r="N103" s="45">
        <f t="shared" si="110"/>
        <v>-112881.31155108192</v>
      </c>
      <c r="O103" s="45">
        <f t="shared" si="110"/>
        <v>-117321.54629811198</v>
      </c>
      <c r="P103" s="45">
        <f t="shared" si="110"/>
        <v>-122011.93351567211</v>
      </c>
      <c r="Q103" s="45">
        <f t="shared" si="110"/>
        <v>-124282.42930005438</v>
      </c>
      <c r="R103" s="45">
        <f t="shared" si="110"/>
        <v>-131814.11742331486</v>
      </c>
    </row>
    <row r="104" spans="2:19" x14ac:dyDescent="0.25"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9" x14ac:dyDescent="0.25">
      <c r="B105" s="39" t="s">
        <v>255</v>
      </c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</row>
    <row r="106" spans="2:19" x14ac:dyDescent="0.25">
      <c r="B106" s="41" t="s">
        <v>311</v>
      </c>
      <c r="C106" s="43">
        <f>C76</f>
        <v>174200</v>
      </c>
      <c r="D106" s="43">
        <f t="shared" ref="D106:I106" si="111">D76-C76</f>
        <v>30000</v>
      </c>
      <c r="E106" s="43">
        <f t="shared" si="111"/>
        <v>1100</v>
      </c>
      <c r="F106" s="43">
        <f t="shared" si="111"/>
        <v>-165000</v>
      </c>
      <c r="G106" s="43">
        <f t="shared" si="111"/>
        <v>85000</v>
      </c>
      <c r="H106" s="43">
        <f t="shared" si="111"/>
        <v>51000</v>
      </c>
      <c r="I106" s="43">
        <f t="shared" si="111"/>
        <v>-95000</v>
      </c>
      <c r="J106" s="46">
        <f>J34</f>
        <v>20872.495755611573</v>
      </c>
      <c r="K106" s="46">
        <f t="shared" ref="K106:K111" si="112">SUM(G106:J106)</f>
        <v>61872.49575561157</v>
      </c>
      <c r="L106" s="46">
        <f t="shared" ref="L106:R106" si="113">L34</f>
        <v>-10655.546104641602</v>
      </c>
      <c r="M106" s="46">
        <f t="shared" si="113"/>
        <v>16673.767562283501</v>
      </c>
      <c r="N106" s="46">
        <f t="shared" si="113"/>
        <v>14875.325068025501</v>
      </c>
      <c r="O106" s="46">
        <f t="shared" si="113"/>
        <v>16375.700845693458</v>
      </c>
      <c r="P106" s="46">
        <f t="shared" si="113"/>
        <v>13399.055024436369</v>
      </c>
      <c r="Q106" s="46">
        <f t="shared" si="113"/>
        <v>9251.9375511299368</v>
      </c>
      <c r="R106" s="46">
        <f t="shared" si="113"/>
        <v>17696.709147207654</v>
      </c>
    </row>
    <row r="107" spans="2:19" x14ac:dyDescent="0.25">
      <c r="B107" s="41" t="s">
        <v>256</v>
      </c>
      <c r="C107" s="43">
        <f>'Cash Flows'!C41+'Cash Flows'!C42+'Cash Flows'!C44+'Cash Flows'!C45+'Cash Flows'!C46+'Cash Flows'!C47-C106</f>
        <v>-189</v>
      </c>
      <c r="D107" s="43">
        <f>'Cash Flows'!D41+'Cash Flows'!D42+'Cash Flows'!D44+'Cash Flows'!D45+'Cash Flows'!D46+'Cash Flows'!D47-D106</f>
        <v>136466</v>
      </c>
      <c r="E107" s="43">
        <f>'Cash Flows'!E41+'Cash Flows'!E42+'Cash Flows'!E44+'Cash Flows'!E45+'Cash Flows'!E46+'Cash Flows'!E47-E106</f>
        <v>5934</v>
      </c>
      <c r="F107" s="43">
        <f>'Cash Flows'!F41+'Cash Flows'!F42+'Cash Flows'!F44+'Cash Flows'!F45+'Cash Flows'!F46+'Cash Flows'!F47-F106</f>
        <v>-177193</v>
      </c>
      <c r="G107" s="43">
        <f>'Cash Flows'!G41+'Cash Flows'!G42+'Cash Flows'!G44+'Cash Flows'!G45+'Cash Flows'!G46+'Cash Flows'!G47-G106</f>
        <v>-376</v>
      </c>
      <c r="H107" s="43">
        <f>'Cash Flows'!H41+'Cash Flows'!H42+'Cash Flows'!H44+'Cash Flows'!H45+'Cash Flows'!H46+'Cash Flows'!H47-H106</f>
        <v>-36774</v>
      </c>
      <c r="I107" s="43">
        <f>'Cash Flows'!I41+'Cash Flows'!I42+'Cash Flows'!I44+'Cash Flows'!I45+'Cash Flows'!I46+'Cash Flows'!I47-I106</f>
        <v>50000</v>
      </c>
      <c r="J107" s="44">
        <f>J78-I78+J80-I80+J77-I77</f>
        <v>-544.91770573565736</v>
      </c>
      <c r="K107" s="46">
        <f t="shared" si="112"/>
        <v>12305.082294264343</v>
      </c>
      <c r="L107" s="55">
        <f t="shared" ref="L107:R107" si="114">L78-K78+L80-K80+L77-K77</f>
        <v>-2158.0899237055855</v>
      </c>
      <c r="M107" s="55">
        <f t="shared" si="114"/>
        <v>-2136.7226967382012</v>
      </c>
      <c r="N107" s="55">
        <f t="shared" si="114"/>
        <v>-2115.5670264734654</v>
      </c>
      <c r="O107" s="55">
        <f t="shared" si="114"/>
        <v>-2094.6208182905684</v>
      </c>
      <c r="P107" s="55">
        <f t="shared" si="114"/>
        <v>-2073.8819983074791</v>
      </c>
      <c r="Q107" s="55">
        <f t="shared" si="114"/>
        <v>-2053.3485131757334</v>
      </c>
      <c r="R107" s="55">
        <f t="shared" si="114"/>
        <v>-2033.0183298769698</v>
      </c>
    </row>
    <row r="108" spans="2:19" x14ac:dyDescent="0.25">
      <c r="B108" s="41" t="s">
        <v>257</v>
      </c>
      <c r="C108" s="43">
        <f>'Cash Flows'!C37</f>
        <v>-166537</v>
      </c>
      <c r="D108" s="43">
        <f>'Cash Flows'!D37</f>
        <v>-167299</v>
      </c>
      <c r="E108" s="43">
        <f>'Cash Flows'!E37</f>
        <v>-167376</v>
      </c>
      <c r="F108" s="43">
        <f>'Cash Flows'!F37</f>
        <v>-176715</v>
      </c>
      <c r="G108" s="43">
        <f>'Cash Flows'!G37</f>
        <v>-47192</v>
      </c>
      <c r="H108" s="43">
        <f>'Cash Flows'!H37</f>
        <v>-46772</v>
      </c>
      <c r="I108" s="43">
        <f>'Cash Flows'!I37</f>
        <v>-46731</v>
      </c>
      <c r="J108" s="44">
        <f>-J62*J27</f>
        <v>-45030.624494448319</v>
      </c>
      <c r="K108" s="44">
        <f t="shared" si="112"/>
        <v>-185725.6244944483</v>
      </c>
      <c r="L108" s="44">
        <f t="shared" ref="L108:R108" si="115">-L62*L27</f>
        <v>-173243.45604778582</v>
      </c>
      <c r="M108" s="44">
        <f t="shared" si="115"/>
        <v>-179954.01533839403</v>
      </c>
      <c r="N108" s="44">
        <f t="shared" si="115"/>
        <v>-189926.48440623324</v>
      </c>
      <c r="O108" s="44">
        <f t="shared" si="115"/>
        <v>-198516.1178324066</v>
      </c>
      <c r="P108" s="44">
        <f t="shared" si="115"/>
        <v>-211012.20902816165</v>
      </c>
      <c r="Q108" s="44">
        <f t="shared" si="115"/>
        <v>-217898.34210614805</v>
      </c>
      <c r="R108" s="44">
        <f t="shared" si="115"/>
        <v>-228025.07767043725</v>
      </c>
    </row>
    <row r="109" spans="2:19" x14ac:dyDescent="0.25">
      <c r="B109" s="41" t="s">
        <v>258</v>
      </c>
      <c r="C109" s="43">
        <f>'Cash Flows'!C36</f>
        <v>-3444</v>
      </c>
      <c r="D109" s="43">
        <f>'Cash Flows'!D36</f>
        <v>-71261</v>
      </c>
      <c r="E109" s="43">
        <f>'Cash Flows'!E36</f>
        <v>-27359</v>
      </c>
      <c r="F109" s="43">
        <f>'Cash Flows'!F36</f>
        <v>-95779</v>
      </c>
      <c r="G109" s="43">
        <f>'Cash Flows'!G36</f>
        <v>-132045</v>
      </c>
      <c r="H109" s="43">
        <f>'Cash Flows'!H36</f>
        <v>-16632</v>
      </c>
      <c r="I109" s="43">
        <f>'Cash Flows'!I36</f>
        <v>-18489</v>
      </c>
      <c r="J109" s="44">
        <f>-J28*J62</f>
        <v>0</v>
      </c>
      <c r="K109" s="44">
        <f t="shared" si="112"/>
        <v>-167166</v>
      </c>
      <c r="L109" s="44">
        <f t="shared" ref="L109:R109" si="116">-L28*L62</f>
        <v>-124297.72790112301</v>
      </c>
      <c r="M109" s="44">
        <f t="shared" si="116"/>
        <v>-87074.071633015803</v>
      </c>
      <c r="N109" s="44">
        <f t="shared" si="116"/>
        <v>-80512.104615232325</v>
      </c>
      <c r="O109" s="44">
        <f t="shared" si="116"/>
        <v>-114056.82260242935</v>
      </c>
      <c r="P109" s="44">
        <f t="shared" si="116"/>
        <v>-83996.334188942754</v>
      </c>
      <c r="Q109" s="44">
        <f t="shared" si="116"/>
        <v>-106320.77585234384</v>
      </c>
      <c r="R109" s="44">
        <f t="shared" si="116"/>
        <v>-111711.40427441908</v>
      </c>
    </row>
    <row r="110" spans="2:19" x14ac:dyDescent="0.25">
      <c r="B110" s="41" t="s">
        <v>259</v>
      </c>
      <c r="C110" s="43">
        <f>'Cash Flows'!C38</f>
        <v>-277634</v>
      </c>
      <c r="D110" s="43">
        <f>'Cash Flows'!D38</f>
        <v>-195351</v>
      </c>
      <c r="E110" s="43">
        <f>'Cash Flows'!E38</f>
        <v>0</v>
      </c>
      <c r="F110" s="43">
        <f>'Cash Flows'!F38</f>
        <v>0</v>
      </c>
      <c r="G110" s="43">
        <f>'Cash Flows'!G38</f>
        <v>0</v>
      </c>
      <c r="H110" s="43">
        <f>'Cash Flows'!H38</f>
        <v>0</v>
      </c>
      <c r="I110" s="43">
        <f>'Cash Flows'!I38</f>
        <v>0</v>
      </c>
      <c r="J110" s="44">
        <v>0</v>
      </c>
      <c r="K110" s="44">
        <f t="shared" si="112"/>
        <v>0</v>
      </c>
      <c r="L110" s="44">
        <v>0</v>
      </c>
      <c r="M110" s="44">
        <v>0</v>
      </c>
      <c r="N110" s="44">
        <v>0</v>
      </c>
      <c r="O110" s="44">
        <v>0</v>
      </c>
      <c r="P110" s="44">
        <v>0</v>
      </c>
      <c r="Q110" s="44">
        <v>0</v>
      </c>
      <c r="R110" s="44">
        <v>0</v>
      </c>
    </row>
    <row r="111" spans="2:19" x14ac:dyDescent="0.25">
      <c r="B111" s="41" t="s">
        <v>260</v>
      </c>
      <c r="C111" s="43">
        <f>'Cash Flows'!C39+'Cash Flows'!C40+'Cash Flows'!C43+'Cash Flows'!C48</f>
        <v>18986</v>
      </c>
      <c r="D111" s="43">
        <f>'Cash Flows'!D39+'Cash Flows'!D40+'Cash Flows'!D43+'Cash Flows'!D48</f>
        <v>33698</v>
      </c>
      <c r="E111" s="43">
        <f>'Cash Flows'!E39+'Cash Flows'!E40+'Cash Flows'!E43+'Cash Flows'!E48</f>
        <v>39561</v>
      </c>
      <c r="F111" s="43">
        <f>'Cash Flows'!F39+'Cash Flows'!F40+'Cash Flows'!F43+'Cash Flows'!F48</f>
        <v>34287</v>
      </c>
      <c r="G111" s="43">
        <f>'Cash Flows'!G39+'Cash Flows'!G40+'Cash Flows'!G43+'Cash Flows'!G48</f>
        <v>7422</v>
      </c>
      <c r="H111" s="43">
        <f>'Cash Flows'!H39+'Cash Flows'!H40+'Cash Flows'!H43+'Cash Flows'!H48</f>
        <v>2092</v>
      </c>
      <c r="I111" s="43">
        <f>'Cash Flows'!I39+'Cash Flows'!I40+'Cash Flows'!I43+'Cash Flows'!I48</f>
        <v>22</v>
      </c>
      <c r="J111" s="44">
        <f>MAX(J107,0)*J29</f>
        <v>0</v>
      </c>
      <c r="K111" s="44">
        <f t="shared" si="112"/>
        <v>9536</v>
      </c>
      <c r="L111" s="44">
        <f t="shared" ref="L111:R111" si="117">MAX(L107,0)*L29</f>
        <v>0</v>
      </c>
      <c r="M111" s="44">
        <f t="shared" si="117"/>
        <v>0</v>
      </c>
      <c r="N111" s="44">
        <f t="shared" si="117"/>
        <v>0</v>
      </c>
      <c r="O111" s="44">
        <f t="shared" si="117"/>
        <v>0</v>
      </c>
      <c r="P111" s="44">
        <f t="shared" si="117"/>
        <v>0</v>
      </c>
      <c r="Q111" s="44">
        <f t="shared" si="117"/>
        <v>0</v>
      </c>
      <c r="R111" s="44">
        <f t="shared" si="117"/>
        <v>0</v>
      </c>
      <c r="S111" s="31" t="s">
        <v>381</v>
      </c>
    </row>
    <row r="112" spans="2:19" x14ac:dyDescent="0.25">
      <c r="B112" s="38" t="s">
        <v>255</v>
      </c>
      <c r="C112" s="45">
        <f t="shared" ref="C112:R112" si="118">SUM(C106:C111)</f>
        <v>-254618</v>
      </c>
      <c r="D112" s="45">
        <f t="shared" si="118"/>
        <v>-233747</v>
      </c>
      <c r="E112" s="45">
        <f t="shared" si="118"/>
        <v>-148140</v>
      </c>
      <c r="F112" s="45">
        <f t="shared" si="118"/>
        <v>-580400</v>
      </c>
      <c r="G112" s="45">
        <f t="shared" si="118"/>
        <v>-87191</v>
      </c>
      <c r="H112" s="45">
        <f t="shared" si="118"/>
        <v>-47086</v>
      </c>
      <c r="I112" s="45">
        <f t="shared" si="118"/>
        <v>-110198</v>
      </c>
      <c r="J112" s="45">
        <f t="shared" si="118"/>
        <v>-24703.046444572403</v>
      </c>
      <c r="K112" s="45">
        <f t="shared" si="118"/>
        <v>-269178.04644457239</v>
      </c>
      <c r="L112" s="45">
        <f t="shared" si="118"/>
        <v>-310354.819977256</v>
      </c>
      <c r="M112" s="45">
        <f t="shared" si="118"/>
        <v>-252491.04210586456</v>
      </c>
      <c r="N112" s="45">
        <f t="shared" si="118"/>
        <v>-257678.83097991353</v>
      </c>
      <c r="O112" s="45">
        <f t="shared" si="118"/>
        <v>-298291.86040743307</v>
      </c>
      <c r="P112" s="45">
        <f t="shared" si="118"/>
        <v>-283683.37019097549</v>
      </c>
      <c r="Q112" s="45">
        <f t="shared" si="118"/>
        <v>-317020.52892053768</v>
      </c>
      <c r="R112" s="45">
        <f t="shared" si="118"/>
        <v>-324072.79112752568</v>
      </c>
    </row>
    <row r="113" spans="2:18" x14ac:dyDescent="0.25"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</row>
    <row r="114" spans="2:18" x14ac:dyDescent="0.25">
      <c r="B114" s="32" t="s">
        <v>261</v>
      </c>
      <c r="C114" s="43">
        <f>'Cash Flows'!C50</f>
        <v>81</v>
      </c>
      <c r="D114" s="43">
        <f>'Cash Flows'!D50</f>
        <v>356</v>
      </c>
      <c r="E114" s="43">
        <f>'Cash Flows'!E50</f>
        <v>-549</v>
      </c>
      <c r="F114" s="43">
        <f>'Cash Flows'!F50</f>
        <v>8</v>
      </c>
      <c r="G114" s="43">
        <f>'Cash Flows'!G50</f>
        <v>209</v>
      </c>
      <c r="H114" s="43">
        <f>'Cash Flows'!H50</f>
        <v>-17</v>
      </c>
      <c r="I114" s="43">
        <f>'Cash Flows'!I50</f>
        <v>-61</v>
      </c>
      <c r="J114" s="44">
        <f>AVERAGE(G114:I114)</f>
        <v>43.666666666666664</v>
      </c>
      <c r="K114" s="46">
        <f t="shared" ref="K114" si="119">SUM(G114:J114)</f>
        <v>174.66666666666666</v>
      </c>
      <c r="L114" s="44">
        <f t="shared" ref="L114" si="120">AVERAGE(C114:F114,K114)</f>
        <v>14.133333333333331</v>
      </c>
      <c r="M114" s="44">
        <f t="shared" ref="M114" si="121">AVERAGE(K114:L114,D114:F114)</f>
        <v>0.75999999999999091</v>
      </c>
      <c r="N114" s="44">
        <f t="shared" ref="N114" si="122">AVERAGE(K114:M114,E114:F114)</f>
        <v>-70.288000000000011</v>
      </c>
      <c r="O114" s="44">
        <f t="shared" ref="O114" si="123">AVERAGE(K114:N114,F114)</f>
        <v>25.454399999999993</v>
      </c>
      <c r="P114" s="44">
        <f>AVERAGE(K114:O114)</f>
        <v>28.94527999999999</v>
      </c>
      <c r="Q114" s="44">
        <f t="shared" ref="Q114" si="124">AVERAGE(L114:P114)</f>
        <v>-0.19899733333334096</v>
      </c>
      <c r="R114" s="44">
        <f t="shared" ref="R114" si="125">AVERAGE(M114:Q114)</f>
        <v>-3.0654634666666758</v>
      </c>
    </row>
    <row r="115" spans="2:18" x14ac:dyDescent="0.25"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</row>
    <row r="116" spans="2:18" x14ac:dyDescent="0.25">
      <c r="B116" s="39" t="s">
        <v>262</v>
      </c>
      <c r="C116" s="47">
        <f t="shared" ref="C116:R116" si="126">C98+C103+C112+C114</f>
        <v>92925</v>
      </c>
      <c r="D116" s="47">
        <f t="shared" si="126"/>
        <v>-84675</v>
      </c>
      <c r="E116" s="47">
        <f t="shared" si="126"/>
        <v>3001</v>
      </c>
      <c r="F116" s="47">
        <f t="shared" si="126"/>
        <v>6515</v>
      </c>
      <c r="G116" s="47">
        <f t="shared" si="126"/>
        <v>-24247</v>
      </c>
      <c r="H116" s="47">
        <f t="shared" si="126"/>
        <v>-3578</v>
      </c>
      <c r="I116" s="47">
        <f t="shared" si="126"/>
        <v>3701</v>
      </c>
      <c r="J116" s="47">
        <f t="shared" si="126"/>
        <v>-927.99999999999761</v>
      </c>
      <c r="K116" s="47">
        <f t="shared" si="126"/>
        <v>-25051.999999999989</v>
      </c>
      <c r="L116" s="47">
        <f t="shared" si="126"/>
        <v>3.1041835768519377E-11</v>
      </c>
      <c r="M116" s="47">
        <f t="shared" si="126"/>
        <v>-6.7529981606639922E-11</v>
      </c>
      <c r="N116" s="47">
        <f t="shared" si="126"/>
        <v>8.7766238721087575E-11</v>
      </c>
      <c r="O116" s="47">
        <f t="shared" si="126"/>
        <v>-4.6014747567824088E-11</v>
      </c>
      <c r="P116" s="47">
        <f t="shared" si="126"/>
        <v>1.4630074929300463E-11</v>
      </c>
      <c r="Q116" s="47">
        <f t="shared" si="126"/>
        <v>2.1441348696527029E-11</v>
      </c>
      <c r="R116" s="47">
        <f t="shared" si="126"/>
        <v>-1.5510215334302302E-10</v>
      </c>
    </row>
    <row r="117" spans="2:18" hidden="1" x14ac:dyDescent="0.25">
      <c r="C117" s="42">
        <f>'Cash Flows'!C51</f>
        <v>92925</v>
      </c>
      <c r="D117" s="42">
        <f>'Cash Flows'!D51</f>
        <v>-84675</v>
      </c>
      <c r="E117" s="42">
        <f>'Cash Flows'!E51</f>
        <v>3001</v>
      </c>
      <c r="F117" s="42">
        <f>'Cash Flows'!F51</f>
        <v>6515</v>
      </c>
      <c r="G117" s="42">
        <f>'Cash Flows'!G51</f>
        <v>-24247</v>
      </c>
      <c r="H117" s="42">
        <f>'Cash Flows'!H51</f>
        <v>-3578</v>
      </c>
      <c r="I117" s="42">
        <f>'Cash Flows'!I51</f>
        <v>3701</v>
      </c>
      <c r="J117" s="42"/>
      <c r="K117" s="46"/>
      <c r="L117" s="46"/>
      <c r="M117" s="46"/>
      <c r="N117" s="46"/>
      <c r="O117" s="46"/>
      <c r="P117" s="46"/>
      <c r="Q117" s="46"/>
      <c r="R117" s="46"/>
    </row>
    <row r="118" spans="2:18" hidden="1" x14ac:dyDescent="0.25">
      <c r="B118" s="31" t="s">
        <v>207</v>
      </c>
      <c r="C118" s="53">
        <f>C116-C117</f>
        <v>0</v>
      </c>
      <c r="D118" s="53">
        <f t="shared" ref="D118:I118" si="127">D116-D117</f>
        <v>0</v>
      </c>
      <c r="E118" s="53">
        <f t="shared" si="127"/>
        <v>0</v>
      </c>
      <c r="F118" s="53">
        <f t="shared" si="127"/>
        <v>0</v>
      </c>
      <c r="G118" s="53">
        <f t="shared" si="127"/>
        <v>0</v>
      </c>
      <c r="H118" s="53">
        <f t="shared" si="127"/>
        <v>0</v>
      </c>
      <c r="I118" s="53">
        <f t="shared" si="127"/>
        <v>0</v>
      </c>
      <c r="J118" s="53"/>
      <c r="K118" s="53"/>
      <c r="L118" s="53"/>
      <c r="M118" s="53"/>
      <c r="N118" s="53"/>
      <c r="O118" s="53"/>
      <c r="P118" s="53"/>
      <c r="Q118" s="53"/>
      <c r="R118" s="5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56C2-A2AF-4350-BF98-921539D94E4A}">
  <sheetPr>
    <tabColor theme="0" tint="-0.249977111117893"/>
  </sheetPr>
  <dimension ref="D3:W87"/>
  <sheetViews>
    <sheetView showGridLines="0" workbookViewId="0">
      <selection activeCell="D3" sqref="D3:M3"/>
    </sheetView>
  </sheetViews>
  <sheetFormatPr defaultColWidth="13.7109375" defaultRowHeight="15" outlineLevelRow="1" x14ac:dyDescent="0.25"/>
  <cols>
    <col min="4" max="4" width="35.28515625" bestFit="1" customWidth="1"/>
    <col min="5" max="13" width="13.7109375" style="63"/>
    <col min="14" max="15" width="13.7109375" customWidth="1"/>
    <col min="16" max="21" width="13.7109375" style="12" customWidth="1"/>
    <col min="22" max="24" width="13.7109375" customWidth="1"/>
  </cols>
  <sheetData>
    <row r="3" spans="4:21" x14ac:dyDescent="0.25">
      <c r="D3" s="229" t="s">
        <v>362</v>
      </c>
      <c r="E3" s="229"/>
      <c r="F3" s="229"/>
      <c r="G3" s="229"/>
      <c r="H3" s="229"/>
      <c r="I3" s="229"/>
      <c r="J3" s="229"/>
      <c r="K3" s="229"/>
      <c r="L3" s="229"/>
      <c r="M3" s="229"/>
    </row>
    <row r="4" spans="4:21" ht="15.75" x14ac:dyDescent="0.25">
      <c r="D4" s="163"/>
      <c r="E4" s="30" t="str">
        <f>'3-Statement (Downside)'!J2</f>
        <v>Q4-24</v>
      </c>
      <c r="F4" s="30">
        <f>'3-Statement (Downside)'!K2</f>
        <v>45657</v>
      </c>
      <c r="G4" s="30">
        <f>'3-Statement (Downside)'!L2</f>
        <v>46022</v>
      </c>
      <c r="H4" s="30">
        <f>'3-Statement (Downside)'!M2</f>
        <v>46387</v>
      </c>
      <c r="I4" s="30">
        <f>'3-Statement (Downside)'!N2</f>
        <v>46752</v>
      </c>
      <c r="J4" s="30">
        <f>'3-Statement (Downside)'!O2</f>
        <v>47118</v>
      </c>
      <c r="K4" s="30">
        <f>'3-Statement (Downside)'!P2</f>
        <v>47483</v>
      </c>
      <c r="L4" s="30">
        <f>'3-Statement (Downside)'!Q2</f>
        <v>47848</v>
      </c>
      <c r="M4" s="30">
        <f>'3-Statement (Downside)'!R2</f>
        <v>48213</v>
      </c>
    </row>
    <row r="5" spans="4:21" hidden="1" outlineLevel="1" x14ac:dyDescent="0.25">
      <c r="D5" t="s">
        <v>0</v>
      </c>
      <c r="E5" s="63">
        <f>'3-Statement (Downside)'!J48</f>
        <v>952178.74599999981</v>
      </c>
      <c r="F5" s="63">
        <f>'3-Statement (Downside)'!K48</f>
        <v>3820845.7459999998</v>
      </c>
      <c r="G5" s="63">
        <f>'3-Statement (Downside)'!L48</f>
        <v>3629803.4586999998</v>
      </c>
      <c r="H5" s="63">
        <f>'3-Statement (Downside)'!M48</f>
        <v>3520909.3549389997</v>
      </c>
      <c r="I5" s="63">
        <f>'3-Statement (Downside)'!N48</f>
        <v>3520909.3549389997</v>
      </c>
      <c r="J5" s="63">
        <f>'3-Statement (Downside)'!O48</f>
        <v>3591327.5420377799</v>
      </c>
      <c r="K5" s="63">
        <f>'3-Statement (Downside)'!P48</f>
        <v>3699067.3682989134</v>
      </c>
      <c r="L5" s="63">
        <f>'3-Statement (Downside)'!Q48</f>
        <v>3838744.1521258806</v>
      </c>
      <c r="M5" s="63">
        <f>'3-Statement (Downside)'!R48</f>
        <v>4016677.6210652194</v>
      </c>
    </row>
    <row r="6" spans="4:21" hidden="1" outlineLevel="1" x14ac:dyDescent="0.25">
      <c r="D6" t="s">
        <v>243</v>
      </c>
      <c r="E6" s="63">
        <f>'3-Statement (Downside)'!J51</f>
        <v>-559738.78025917511</v>
      </c>
      <c r="F6" s="63">
        <f>'3-Statement (Downside)'!K51</f>
        <v>-2246230.7802591752</v>
      </c>
      <c r="G6" s="63">
        <f>'3-Statement (Downside)'!L51</f>
        <v>-2159056.4214512762</v>
      </c>
      <c r="H6" s="63">
        <f>'3-Statement (Downside)'!M51</f>
        <v>-2091187.1847089326</v>
      </c>
      <c r="I6" s="63">
        <f>'3-Statement (Downside)'!N51</f>
        <v>-2078584.7209277505</v>
      </c>
      <c r="J6" s="63">
        <f>'3-Statement (Downside)'!O51</f>
        <v>-2118308.6164037888</v>
      </c>
      <c r="K6" s="63">
        <f>'3-Statement (Downside)'!P51</f>
        <v>-2168267.7423350234</v>
      </c>
      <c r="L6" s="63">
        <f>'3-Statement (Downside)'!Q51</f>
        <v>-2248819.2297278331</v>
      </c>
      <c r="M6" s="63">
        <f>'3-Statement (Downside)'!R51</f>
        <v>-2353866.2675725338</v>
      </c>
    </row>
    <row r="7" spans="4:21" hidden="1" outlineLevel="1" x14ac:dyDescent="0.25">
      <c r="D7" t="s">
        <v>229</v>
      </c>
      <c r="E7" s="63">
        <f>'3-Statement (Downside)'!J52</f>
        <v>-289178.76111293869</v>
      </c>
      <c r="F7" s="63">
        <f>'3-Statement (Downside)'!K52</f>
        <v>-1160037.7611129386</v>
      </c>
      <c r="G7" s="63">
        <f>'3-Statement (Downside)'!L52</f>
        <v>-1140890.4565841034</v>
      </c>
      <c r="H7" s="63">
        <f>'3-Statement (Downside)'!M52</f>
        <v>-1091682.790760899</v>
      </c>
      <c r="I7" s="63">
        <f>'3-Statement (Downside)'!N52</f>
        <v>-1071562.6273616913</v>
      </c>
      <c r="J7" s="63">
        <f>'3-Statement (Downside)'!O52</f>
        <v>-1084204.9291244822</v>
      </c>
      <c r="K7" s="63">
        <f>'3-Statement (Downside)'!P52</f>
        <v>-1105439.9736818932</v>
      </c>
      <c r="L7" s="63">
        <f>'3-Statement (Downside)'!Q52</f>
        <v>-1143523.2939005268</v>
      </c>
      <c r="M7" s="63">
        <f>'3-Statement (Downside)'!R52</f>
        <v>-1195385.5729399191</v>
      </c>
    </row>
    <row r="8" spans="4:21" hidden="1" outlineLevel="1" x14ac:dyDescent="0.25">
      <c r="D8" t="s">
        <v>244</v>
      </c>
      <c r="E8" s="63">
        <f>'3-Statement (Downside)'!J54</f>
        <v>-6677.9508127977051</v>
      </c>
      <c r="F8" s="63">
        <f>'3-Statement (Downside)'!K54</f>
        <v>-18464.950812797706</v>
      </c>
      <c r="G8" s="63">
        <f>'3-Statement (Downside)'!L54</f>
        <v>-32399.372305638251</v>
      </c>
      <c r="H8" s="63">
        <f>'3-Statement (Downside)'!M54</f>
        <v>-31227.734844729239</v>
      </c>
      <c r="I8" s="63">
        <f>'3-Statement (Downside)'!N54</f>
        <v>-25897.865195724906</v>
      </c>
      <c r="J8" s="63">
        <f>'3-Statement (Downside)'!O54</f>
        <v>-26378.426943709157</v>
      </c>
      <c r="K8" s="63">
        <f>'3-Statement (Downside)'!P54</f>
        <v>-30122.284763924865</v>
      </c>
      <c r="L8" s="63">
        <f>'3-Statement (Downside)'!Q54</f>
        <v>-31200.428130658744</v>
      </c>
      <c r="M8" s="63">
        <f>'3-Statement (Downside)'!R54</f>
        <v>-32005.439635563725</v>
      </c>
    </row>
    <row r="9" spans="4:21" ht="15.75" hidden="1" outlineLevel="1" thickBot="1" x14ac:dyDescent="0.3">
      <c r="D9" s="6" t="s">
        <v>230</v>
      </c>
      <c r="E9" s="72">
        <f t="shared" ref="E9:M9" si="0">SUM(E5:E8)</f>
        <v>96583.253815088305</v>
      </c>
      <c r="F9" s="72">
        <f t="shared" si="0"/>
        <v>396112.25381508825</v>
      </c>
      <c r="G9" s="72">
        <f t="shared" si="0"/>
        <v>297457.208358982</v>
      </c>
      <c r="H9" s="72">
        <f t="shared" si="0"/>
        <v>306811.64462443889</v>
      </c>
      <c r="I9" s="72">
        <f t="shared" si="0"/>
        <v>344864.14145383309</v>
      </c>
      <c r="J9" s="72">
        <f t="shared" si="0"/>
        <v>362435.56956579979</v>
      </c>
      <c r="K9" s="72">
        <f t="shared" si="0"/>
        <v>395237.3675180719</v>
      </c>
      <c r="L9" s="72">
        <f t="shared" si="0"/>
        <v>415201.20036686194</v>
      </c>
      <c r="M9" s="72">
        <f t="shared" si="0"/>
        <v>435420.34091720282</v>
      </c>
    </row>
    <row r="10" spans="4:21" hidden="1" outlineLevel="1" x14ac:dyDescent="0.25">
      <c r="D10" t="s">
        <v>247</v>
      </c>
      <c r="E10" s="63">
        <f>'3-Statement (Downside)'!J60</f>
        <v>-4723.6237999999994</v>
      </c>
      <c r="F10" s="63">
        <f>'3-Statement (Downside)'!K60</f>
        <v>-18790.623800000001</v>
      </c>
      <c r="G10" s="63">
        <f>'3-Statement (Downside)'!L60</f>
        <v>-18747.68998130754</v>
      </c>
      <c r="H10" s="63">
        <f>'3-Statement (Downside)'!M60</f>
        <v>-18589.578469270891</v>
      </c>
      <c r="I10" s="63">
        <f>'3-Statement (Downside)'!N60</f>
        <v>-18430.883934963495</v>
      </c>
      <c r="J10" s="63">
        <f>'3-Statement (Downside)'!O60</f>
        <v>-18332.077035388844</v>
      </c>
      <c r="K10" s="63">
        <f>'3-Statement (Downside)'!P60</f>
        <v>-18153.481290223386</v>
      </c>
      <c r="L10" s="63">
        <f>'3-Statement (Downside)'!Q60</f>
        <v>-17996.658104854905</v>
      </c>
      <c r="M10" s="63">
        <f>'3-Statement (Downside)'!R60</f>
        <v>-17765.011944444101</v>
      </c>
    </row>
    <row r="11" spans="4:21" hidden="1" outlineLevel="1" x14ac:dyDescent="0.25">
      <c r="D11" t="s">
        <v>245</v>
      </c>
      <c r="E11" s="63">
        <f>'3-Statement (Downside)'!J59</f>
        <v>-6260.0936533050226</v>
      </c>
      <c r="F11" s="63">
        <f>'3-Statement (Downside)'!K59</f>
        <v>-25113.093653305023</v>
      </c>
      <c r="G11" s="63">
        <f>'3-Statement (Downside)'!L59</f>
        <v>-19046.128045269783</v>
      </c>
      <c r="H11" s="63">
        <f>'3-Statement (Downside)'!M59</f>
        <v>-18565.403050886653</v>
      </c>
      <c r="I11" s="63">
        <f>'3-Statement (Downside)'!N59</f>
        <v>-19142.344145400628</v>
      </c>
      <c r="J11" s="63">
        <f>'3-Statement (Downside)'!O59</f>
        <v>-20035.489772072786</v>
      </c>
      <c r="K11" s="63">
        <f>'3-Statement (Downside)'!P59</f>
        <v>-20794.913310272306</v>
      </c>
      <c r="L11" s="63">
        <f>'3-Statement (Downside)'!Q59</f>
        <v>-20850.008350663946</v>
      </c>
      <c r="M11" s="63">
        <f>'3-Statement (Downside)'!R59</f>
        <v>-21964.514461121922</v>
      </c>
    </row>
    <row r="12" spans="4:21" hidden="1" outlineLevel="1" x14ac:dyDescent="0.25">
      <c r="D12" t="s">
        <v>246</v>
      </c>
      <c r="E12" s="63">
        <f>'3-Statement (Downside)'!J63</f>
        <v>-20686.392786415134</v>
      </c>
      <c r="F12" s="63">
        <f>'3-Statement (Downside)'!K63</f>
        <v>-85290.392786415134</v>
      </c>
      <c r="G12" s="63">
        <f>'3-Statement (Downside)'!L63</f>
        <v>-63686.41970601309</v>
      </c>
      <c r="H12" s="63">
        <f>'3-Statement (Downside)'!M63</f>
        <v>-66054.799642312239</v>
      </c>
      <c r="I12" s="63">
        <f>'3-Statement (Downside)'!N63</f>
        <v>-75316.054862112302</v>
      </c>
      <c r="J12" s="63">
        <f>'3-Statement (Downside)'!O63</f>
        <v>-79416.726702561398</v>
      </c>
      <c r="K12" s="63">
        <f>'3-Statement (Downside)'!P63</f>
        <v>-87115.634254837525</v>
      </c>
      <c r="L12" s="63">
        <f>'3-Statement (Downside)'!Q63</f>
        <v>-92198.686456338401</v>
      </c>
      <c r="M12" s="63">
        <f>'3-Statement (Downside)'!R63</f>
        <v>-96912.940886876895</v>
      </c>
    </row>
    <row r="13" spans="4:21" ht="15.75" hidden="1" outlineLevel="1" thickBot="1" x14ac:dyDescent="0.3">
      <c r="D13" s="6" t="s">
        <v>221</v>
      </c>
      <c r="E13" s="72">
        <f t="shared" ref="E13:M13" si="1">SUM(E9:E12)</f>
        <v>64913.143575368144</v>
      </c>
      <c r="F13" s="72">
        <f t="shared" si="1"/>
        <v>266918.1435753681</v>
      </c>
      <c r="G13" s="72">
        <f t="shared" si="1"/>
        <v>195976.97062639159</v>
      </c>
      <c r="H13" s="72">
        <f t="shared" si="1"/>
        <v>203601.86346196913</v>
      </c>
      <c r="I13" s="72">
        <f t="shared" si="1"/>
        <v>231974.85851135667</v>
      </c>
      <c r="J13" s="72">
        <f t="shared" si="1"/>
        <v>244651.27605577678</v>
      </c>
      <c r="K13" s="72">
        <f t="shared" si="1"/>
        <v>269173.33866273868</v>
      </c>
      <c r="L13" s="72">
        <f t="shared" si="1"/>
        <v>284155.8474550047</v>
      </c>
      <c r="M13" s="72">
        <f t="shared" si="1"/>
        <v>298777.8736247599</v>
      </c>
    </row>
    <row r="14" spans="4:21" ht="15.75" collapsed="1" thickBot="1" x14ac:dyDescent="0.3">
      <c r="E14"/>
      <c r="F14"/>
      <c r="G14"/>
      <c r="H14"/>
      <c r="I14"/>
      <c r="J14"/>
      <c r="K14"/>
      <c r="L14"/>
      <c r="M14"/>
      <c r="P14"/>
      <c r="Q14"/>
      <c r="R14"/>
      <c r="S14"/>
      <c r="T14"/>
      <c r="U14"/>
    </row>
    <row r="15" spans="4:21" x14ac:dyDescent="0.25">
      <c r="D15" s="170" t="s">
        <v>341</v>
      </c>
      <c r="E15" s="189">
        <f>'3-Statement (Downside)'!J103</f>
        <v>51395.363440744462</v>
      </c>
      <c r="F15" s="189">
        <f>'3-Statement (Downside)'!K103</f>
        <v>354828.36344074446</v>
      </c>
      <c r="G15" s="189">
        <f>'3-Statement (Downside)'!L103</f>
        <v>246028.06437659694</v>
      </c>
      <c r="H15" s="189">
        <f>'3-Statement (Downside)'!M103</f>
        <v>328503.40033688745</v>
      </c>
      <c r="I15" s="189">
        <f>'3-Statement (Downside)'!N103</f>
        <v>348427.09650299494</v>
      </c>
      <c r="J15" s="189">
        <f>'3-Statement (Downside)'!O103</f>
        <v>326668.11941229034</v>
      </c>
      <c r="K15" s="189">
        <f>'3-Statement (Downside)'!P103</f>
        <v>350106.44191322266</v>
      </c>
      <c r="L15" s="189">
        <f>'3-Statement (Downside)'!Q103</f>
        <v>351042.81984187179</v>
      </c>
      <c r="M15" s="190">
        <f>'3-Statement (Downside)'!R103</f>
        <v>363724.92961337237</v>
      </c>
      <c r="P15"/>
      <c r="Q15"/>
      <c r="R15"/>
      <c r="S15"/>
      <c r="T15"/>
      <c r="U15"/>
    </row>
    <row r="16" spans="4:21" x14ac:dyDescent="0.25">
      <c r="D16" s="171" t="s">
        <v>231</v>
      </c>
      <c r="E16" s="105">
        <f>'3-Statement (Downside)'!J106</f>
        <v>-24318.378502113228</v>
      </c>
      <c r="F16" s="105">
        <f>'3-Statement (Downside)'!K106</f>
        <v>-97672.378502113221</v>
      </c>
      <c r="G16" s="105">
        <f>'3-Statement (Downside)'!L106</f>
        <v>-59200.567500323457</v>
      </c>
      <c r="H16" s="105">
        <f>'3-Statement (Downside)'!M106</f>
        <v>-64177.60396551255</v>
      </c>
      <c r="I16" s="105">
        <f>'3-Statement (Downside)'!N106</f>
        <v>-70272.849641126246</v>
      </c>
      <c r="J16" s="105">
        <f>'3-Statement (Downside)'!O106</f>
        <v>-74791.987896618142</v>
      </c>
      <c r="K16" s="105">
        <f>'3-Statement (Downside)'!P106</f>
        <v>-79814.490617472897</v>
      </c>
      <c r="L16" s="105">
        <f>'3-Statement (Downside)'!Q106</f>
        <v>-79767.959755777047</v>
      </c>
      <c r="M16" s="103">
        <f>'3-Statement (Downside)'!R106</f>
        <v>-84646.366029766359</v>
      </c>
      <c r="P16"/>
      <c r="Q16"/>
      <c r="R16"/>
      <c r="S16"/>
      <c r="T16"/>
      <c r="U16"/>
    </row>
    <row r="17" spans="4:21" ht="15.75" thickBot="1" x14ac:dyDescent="0.3">
      <c r="D17" s="172" t="s">
        <v>223</v>
      </c>
      <c r="E17" s="72">
        <f t="shared" ref="E17:M17" si="2">SUM(E15:E16)</f>
        <v>27076.984938631234</v>
      </c>
      <c r="F17" s="72">
        <f t="shared" si="2"/>
        <v>257155.98493863124</v>
      </c>
      <c r="G17" s="72">
        <f t="shared" si="2"/>
        <v>186827.49687627348</v>
      </c>
      <c r="H17" s="72">
        <f t="shared" si="2"/>
        <v>264325.79637137492</v>
      </c>
      <c r="I17" s="72">
        <f t="shared" si="2"/>
        <v>278154.24686186871</v>
      </c>
      <c r="J17" s="72">
        <f t="shared" si="2"/>
        <v>251876.1315156722</v>
      </c>
      <c r="K17" s="72">
        <f t="shared" si="2"/>
        <v>270291.95129574975</v>
      </c>
      <c r="L17" s="72">
        <f t="shared" si="2"/>
        <v>271274.86008609476</v>
      </c>
      <c r="M17" s="173">
        <f t="shared" si="2"/>
        <v>279078.56358360604</v>
      </c>
      <c r="P17"/>
      <c r="Q17"/>
      <c r="R17"/>
      <c r="S17"/>
      <c r="T17"/>
      <c r="U17"/>
    </row>
    <row r="18" spans="4:21" ht="15.75" thickTop="1" x14ac:dyDescent="0.25">
      <c r="D18" s="171"/>
      <c r="E18" s="67"/>
      <c r="F18"/>
      <c r="G18" s="105"/>
      <c r="H18" s="105"/>
      <c r="I18" s="105"/>
      <c r="J18" s="105"/>
      <c r="K18" s="105"/>
      <c r="L18" s="105"/>
      <c r="M18" s="191"/>
      <c r="P18"/>
      <c r="Q18"/>
      <c r="R18"/>
      <c r="S18"/>
      <c r="T18"/>
      <c r="U18"/>
    </row>
    <row r="19" spans="4:21" x14ac:dyDescent="0.25">
      <c r="D19" s="171" t="s">
        <v>223</v>
      </c>
      <c r="E19" s="105"/>
      <c r="F19" s="105"/>
      <c r="G19" s="105">
        <f t="shared" ref="G19:M19" si="3">G17</f>
        <v>186827.49687627348</v>
      </c>
      <c r="H19" s="105">
        <f t="shared" si="3"/>
        <v>264325.79637137492</v>
      </c>
      <c r="I19" s="105">
        <f t="shared" si="3"/>
        <v>278154.24686186871</v>
      </c>
      <c r="J19" s="105">
        <f t="shared" si="3"/>
        <v>251876.1315156722</v>
      </c>
      <c r="K19" s="105">
        <f t="shared" si="3"/>
        <v>270291.95129574975</v>
      </c>
      <c r="L19" s="105">
        <f t="shared" si="3"/>
        <v>271274.86008609476</v>
      </c>
      <c r="M19" s="103">
        <f t="shared" si="3"/>
        <v>279078.56358360604</v>
      </c>
      <c r="N19" s="73"/>
      <c r="P19"/>
      <c r="Q19"/>
      <c r="R19"/>
      <c r="S19"/>
      <c r="T19"/>
      <c r="U19"/>
    </row>
    <row r="20" spans="4:21" x14ac:dyDescent="0.25">
      <c r="D20" s="171" t="s">
        <v>324</v>
      </c>
      <c r="E20" s="174"/>
      <c r="F20" s="174"/>
      <c r="G20" s="174"/>
      <c r="H20" s="174"/>
      <c r="I20" s="174"/>
      <c r="J20" s="174"/>
      <c r="K20" s="174"/>
      <c r="L20" s="174"/>
      <c r="M20" s="175">
        <v>0.03</v>
      </c>
      <c r="P20"/>
      <c r="Q20"/>
      <c r="R20"/>
      <c r="S20"/>
      <c r="T20"/>
      <c r="U20"/>
    </row>
    <row r="21" spans="4:21" x14ac:dyDescent="0.25">
      <c r="D21" s="171" t="s">
        <v>349</v>
      </c>
      <c r="E21" s="174"/>
      <c r="F21" s="174"/>
      <c r="G21" s="174"/>
      <c r="H21" s="174"/>
      <c r="I21" s="174"/>
      <c r="J21" s="174"/>
      <c r="K21" s="174"/>
      <c r="L21" s="174"/>
      <c r="M21" s="175">
        <v>9.2999999999999999E-2</v>
      </c>
      <c r="P21"/>
      <c r="Q21"/>
      <c r="R21"/>
      <c r="S21"/>
      <c r="T21"/>
      <c r="U21"/>
    </row>
    <row r="22" spans="4:21" x14ac:dyDescent="0.25">
      <c r="D22" s="176" t="s">
        <v>323</v>
      </c>
      <c r="E22" s="75"/>
      <c r="F22" s="75"/>
      <c r="G22" s="75"/>
      <c r="H22" s="75"/>
      <c r="I22" s="75"/>
      <c r="J22" s="75"/>
      <c r="K22" s="75"/>
      <c r="L22" s="75"/>
      <c r="M22" s="177">
        <f>(M19*(1+M20))/(M21-M20)</f>
        <v>4562713.0236684792</v>
      </c>
      <c r="P22"/>
      <c r="Q22"/>
      <c r="R22"/>
      <c r="S22"/>
      <c r="T22"/>
      <c r="U22"/>
    </row>
    <row r="23" spans="4:21" x14ac:dyDescent="0.25">
      <c r="D23" s="178" t="s">
        <v>330</v>
      </c>
      <c r="E23" s="76"/>
      <c r="F23" s="76"/>
      <c r="G23" s="76"/>
      <c r="H23" s="76"/>
      <c r="I23" s="76"/>
      <c r="J23" s="76"/>
      <c r="K23" s="76"/>
      <c r="L23" s="76"/>
      <c r="M23" s="179">
        <f>(M22/(1+M21)^COUNT(G19:M19))</f>
        <v>2448398.0255674324</v>
      </c>
      <c r="N23" s="164"/>
      <c r="P23"/>
      <c r="Q23"/>
      <c r="R23"/>
      <c r="S23"/>
      <c r="T23"/>
      <c r="U23"/>
    </row>
    <row r="24" spans="4:21" x14ac:dyDescent="0.25">
      <c r="D24" s="178" t="s">
        <v>331</v>
      </c>
      <c r="E24" s="76"/>
      <c r="F24" s="76"/>
      <c r="G24" s="76"/>
      <c r="H24" s="76"/>
      <c r="I24" s="76"/>
      <c r="J24" s="76"/>
      <c r="K24" s="76"/>
      <c r="L24" s="76"/>
      <c r="M24" s="179">
        <f>NPV(M21,G19:M19)</f>
        <v>1263832.5174007881</v>
      </c>
      <c r="N24" s="164"/>
      <c r="P24"/>
      <c r="Q24"/>
      <c r="R24"/>
      <c r="S24"/>
      <c r="T24"/>
      <c r="U24"/>
    </row>
    <row r="25" spans="4:21" ht="15.75" thickBot="1" x14ac:dyDescent="0.3">
      <c r="D25" s="180" t="s">
        <v>332</v>
      </c>
      <c r="E25" s="78"/>
      <c r="F25" s="78"/>
      <c r="G25" s="78"/>
      <c r="H25" s="78"/>
      <c r="I25" s="78"/>
      <c r="J25" s="78"/>
      <c r="K25" s="78"/>
      <c r="L25" s="78"/>
      <c r="M25" s="181">
        <f>M24+M23</f>
        <v>3712230.5429682205</v>
      </c>
      <c r="N25" s="164"/>
      <c r="P25"/>
      <c r="Q25"/>
      <c r="R25"/>
      <c r="S25"/>
      <c r="T25"/>
      <c r="U25"/>
    </row>
    <row r="26" spans="4:21" ht="15.75" thickTop="1" x14ac:dyDescent="0.25">
      <c r="D26" s="171"/>
      <c r="E26" s="67"/>
      <c r="F26" s="67"/>
      <c r="G26" s="67"/>
      <c r="H26" s="67"/>
      <c r="I26" s="67"/>
      <c r="J26" s="67"/>
      <c r="K26" s="67"/>
      <c r="L26" s="67"/>
      <c r="M26" s="182"/>
      <c r="N26" s="164"/>
      <c r="P26"/>
      <c r="Q26"/>
      <c r="R26"/>
      <c r="S26"/>
      <c r="T26"/>
      <c r="U26"/>
    </row>
    <row r="27" spans="4:21" x14ac:dyDescent="0.25">
      <c r="D27" s="171" t="s">
        <v>332</v>
      </c>
      <c r="E27" s="105"/>
      <c r="F27" s="105"/>
      <c r="G27" s="105"/>
      <c r="H27" s="105"/>
      <c r="I27" s="105"/>
      <c r="J27" s="105"/>
      <c r="K27" s="105"/>
      <c r="L27" s="105"/>
      <c r="M27" s="103">
        <f>M25</f>
        <v>3712230.5429682205</v>
      </c>
      <c r="N27" s="164"/>
      <c r="P27"/>
      <c r="Q27"/>
      <c r="R27"/>
      <c r="S27"/>
      <c r="T27"/>
      <c r="U27"/>
    </row>
    <row r="28" spans="4:21" x14ac:dyDescent="0.25">
      <c r="D28" s="171" t="s">
        <v>224</v>
      </c>
      <c r="E28" s="105"/>
      <c r="F28" s="105"/>
      <c r="G28" s="105"/>
      <c r="H28" s="105"/>
      <c r="I28" s="105"/>
      <c r="J28" s="105"/>
      <c r="K28" s="105"/>
      <c r="L28" s="105"/>
      <c r="M28" s="103">
        <f>-M48</f>
        <v>-526567.73101345217</v>
      </c>
      <c r="N28" s="164"/>
      <c r="P28"/>
      <c r="Q28"/>
      <c r="R28"/>
      <c r="S28"/>
      <c r="T28"/>
      <c r="U28"/>
    </row>
    <row r="29" spans="4:21" x14ac:dyDescent="0.25">
      <c r="D29" s="183" t="s">
        <v>225</v>
      </c>
      <c r="E29" s="76"/>
      <c r="F29" s="76"/>
      <c r="G29" s="76"/>
      <c r="H29" s="76"/>
      <c r="I29" s="76"/>
      <c r="J29" s="76"/>
      <c r="K29" s="76"/>
      <c r="L29" s="76"/>
      <c r="M29" s="184">
        <f>'3-Statement (Downside)'!R73</f>
        <v>24999.999999999938</v>
      </c>
      <c r="N29" s="164"/>
      <c r="P29"/>
      <c r="Q29"/>
      <c r="R29"/>
      <c r="S29"/>
      <c r="T29"/>
      <c r="U29"/>
    </row>
    <row r="30" spans="4:21" x14ac:dyDescent="0.25">
      <c r="D30" s="171" t="s">
        <v>227</v>
      </c>
      <c r="E30" s="105"/>
      <c r="F30" s="105"/>
      <c r="G30" s="105"/>
      <c r="H30" s="105"/>
      <c r="I30" s="105"/>
      <c r="J30" s="105"/>
      <c r="K30" s="105"/>
      <c r="L30" s="105"/>
      <c r="M30" s="103">
        <f>M28+M29</f>
        <v>-501567.73101345223</v>
      </c>
      <c r="P30"/>
      <c r="Q30"/>
      <c r="R30"/>
      <c r="S30"/>
      <c r="T30"/>
      <c r="U30"/>
    </row>
    <row r="31" spans="4:21" x14ac:dyDescent="0.25">
      <c r="D31" s="171" t="s">
        <v>226</v>
      </c>
      <c r="E31" s="105"/>
      <c r="F31" s="105"/>
      <c r="G31" s="105"/>
      <c r="H31" s="105"/>
      <c r="I31" s="105"/>
      <c r="J31" s="105"/>
      <c r="K31" s="105"/>
      <c r="L31" s="105"/>
      <c r="M31" s="103">
        <f>-'3-Statement (Downside)'!R89</f>
        <v>-12060.4643461294</v>
      </c>
      <c r="P31"/>
      <c r="Q31"/>
      <c r="R31"/>
      <c r="S31"/>
      <c r="T31"/>
      <c r="U31"/>
    </row>
    <row r="32" spans="4:21" ht="15.75" thickBot="1" x14ac:dyDescent="0.3">
      <c r="D32" s="172" t="s">
        <v>222</v>
      </c>
      <c r="E32" s="72"/>
      <c r="F32" s="72"/>
      <c r="G32" s="72"/>
      <c r="H32" s="72"/>
      <c r="I32" s="72"/>
      <c r="J32" s="72"/>
      <c r="K32" s="72"/>
      <c r="L32" s="72"/>
      <c r="M32" s="173">
        <f>M27+M30+M31</f>
        <v>3198602.3476086389</v>
      </c>
      <c r="P32"/>
      <c r="Q32"/>
      <c r="R32"/>
      <c r="S32"/>
      <c r="T32"/>
      <c r="U32"/>
    </row>
    <row r="33" spans="4:23" ht="15.75" thickTop="1" x14ac:dyDescent="0.25">
      <c r="D33" s="171"/>
      <c r="E33" s="105"/>
      <c r="F33" s="105"/>
      <c r="G33" s="105"/>
      <c r="H33" s="105"/>
      <c r="I33" s="105"/>
      <c r="J33" s="105"/>
      <c r="K33" s="105"/>
      <c r="L33" s="105"/>
      <c r="M33" s="103"/>
      <c r="P33"/>
      <c r="Q33"/>
      <c r="R33"/>
      <c r="S33"/>
      <c r="T33"/>
      <c r="U33"/>
    </row>
    <row r="34" spans="4:23" x14ac:dyDescent="0.25">
      <c r="D34" s="171" t="s">
        <v>222</v>
      </c>
      <c r="E34" s="105"/>
      <c r="F34" s="105"/>
      <c r="G34" s="105"/>
      <c r="H34" s="105"/>
      <c r="I34" s="105"/>
      <c r="J34" s="105"/>
      <c r="K34" s="105"/>
      <c r="L34" s="105"/>
      <c r="M34" s="103">
        <f>M32</f>
        <v>3198602.3476086389</v>
      </c>
      <c r="P34"/>
      <c r="Q34"/>
      <c r="R34"/>
      <c r="S34"/>
      <c r="T34"/>
      <c r="U34"/>
    </row>
    <row r="35" spans="4:23" x14ac:dyDescent="0.25">
      <c r="D35" s="171" t="s">
        <v>345</v>
      </c>
      <c r="E35" s="105"/>
      <c r="F35" s="105"/>
      <c r="G35" s="105"/>
      <c r="H35" s="105"/>
      <c r="I35" s="105"/>
      <c r="J35" s="105"/>
      <c r="K35" s="105"/>
      <c r="L35" s="105"/>
      <c r="M35" s="185">
        <v>55900</v>
      </c>
      <c r="P35"/>
      <c r="Q35"/>
      <c r="R35"/>
      <c r="S35"/>
      <c r="T35"/>
      <c r="U35"/>
    </row>
    <row r="36" spans="4:23" s="79" customFormat="1" ht="15.75" thickBot="1" x14ac:dyDescent="0.3">
      <c r="D36" s="186" t="s">
        <v>228</v>
      </c>
      <c r="E36" s="187"/>
      <c r="F36" s="187"/>
      <c r="G36" s="187"/>
      <c r="H36" s="187"/>
      <c r="I36" s="187"/>
      <c r="J36" s="187"/>
      <c r="K36" s="187"/>
      <c r="L36" s="187"/>
      <c r="M36" s="188">
        <f>M34/M35</f>
        <v>57.220077774752035</v>
      </c>
      <c r="O36"/>
      <c r="P36"/>
      <c r="Q36"/>
      <c r="R36"/>
      <c r="S36"/>
      <c r="T36"/>
      <c r="U36"/>
      <c r="V36"/>
      <c r="W36"/>
    </row>
    <row r="37" spans="4:23" s="79" customFormat="1" x14ac:dyDescent="0.25">
      <c r="D37" s="4"/>
      <c r="E37" s="86"/>
      <c r="F37" s="86"/>
      <c r="G37" s="86"/>
      <c r="H37" s="86"/>
      <c r="I37" s="86"/>
      <c r="J37" s="86"/>
      <c r="K37" s="86"/>
      <c r="L37" s="86"/>
      <c r="M37" s="86"/>
      <c r="O37"/>
      <c r="P37"/>
      <c r="Q37"/>
      <c r="R37"/>
      <c r="S37"/>
      <c r="T37"/>
      <c r="U37"/>
      <c r="V37"/>
      <c r="W37"/>
    </row>
    <row r="38" spans="4:23" s="79" customFormat="1" x14ac:dyDescent="0.25">
      <c r="D38" t="s">
        <v>221</v>
      </c>
      <c r="E38" s="88"/>
      <c r="F38" s="88">
        <f t="shared" ref="F38" si="4">F13</f>
        <v>266918.1435753681</v>
      </c>
      <c r="G38" s="88"/>
      <c r="H38" s="88"/>
      <c r="I38" s="88"/>
      <c r="J38" s="88"/>
      <c r="K38" s="88"/>
      <c r="L38" s="88"/>
      <c r="M38" s="88"/>
      <c r="O38"/>
      <c r="P38"/>
      <c r="Q38"/>
      <c r="R38"/>
      <c r="S38"/>
      <c r="T38"/>
      <c r="U38"/>
      <c r="V38"/>
      <c r="W38"/>
    </row>
    <row r="39" spans="4:23" s="79" customFormat="1" x14ac:dyDescent="0.25">
      <c r="D39" t="s">
        <v>342</v>
      </c>
      <c r="E39" s="88"/>
      <c r="F39" s="88">
        <f t="shared" ref="F39" si="5">$M$35</f>
        <v>55900</v>
      </c>
      <c r="G39" s="88"/>
      <c r="H39" s="88"/>
      <c r="I39" s="88"/>
      <c r="J39" s="88"/>
      <c r="K39" s="88"/>
      <c r="L39" s="88"/>
      <c r="M39" s="88"/>
      <c r="O39"/>
      <c r="P39"/>
      <c r="Q39"/>
      <c r="R39"/>
      <c r="S39"/>
      <c r="T39"/>
      <c r="U39"/>
      <c r="V39"/>
      <c r="W39"/>
    </row>
    <row r="40" spans="4:23" s="79" customFormat="1" x14ac:dyDescent="0.25">
      <c r="D40" t="s">
        <v>343</v>
      </c>
      <c r="E40" s="89"/>
      <c r="F40" s="89">
        <f t="shared" ref="F40" si="6">F38/F39</f>
        <v>4.7749220675378909</v>
      </c>
      <c r="G40" s="89"/>
      <c r="H40" s="89"/>
      <c r="I40" s="89"/>
      <c r="J40" s="89"/>
      <c r="K40" s="89"/>
      <c r="L40" s="89"/>
      <c r="M40" s="89"/>
      <c r="O40"/>
      <c r="P40"/>
      <c r="Q40"/>
      <c r="R40"/>
      <c r="S40"/>
      <c r="T40"/>
      <c r="U40"/>
      <c r="V40"/>
      <c r="W40"/>
    </row>
    <row r="41" spans="4:23" s="79" customFormat="1" x14ac:dyDescent="0.25">
      <c r="D41" t="s">
        <v>355</v>
      </c>
      <c r="E41" s="88"/>
      <c r="F41" s="88">
        <f t="shared" ref="F41" si="7">F38*F42</f>
        <v>3203017.7229044172</v>
      </c>
      <c r="G41" s="88"/>
      <c r="H41" s="88"/>
      <c r="I41" s="88"/>
      <c r="J41" s="88"/>
      <c r="K41" s="88"/>
      <c r="L41" s="88"/>
      <c r="M41" s="88"/>
      <c r="O41"/>
      <c r="P41"/>
      <c r="Q41"/>
      <c r="R41"/>
      <c r="S41"/>
      <c r="T41"/>
      <c r="U41"/>
      <c r="V41"/>
      <c r="W41"/>
    </row>
    <row r="42" spans="4:23" s="79" customFormat="1" x14ac:dyDescent="0.25">
      <c r="D42" t="s">
        <v>364</v>
      </c>
      <c r="E42" s="215"/>
      <c r="F42" s="215">
        <v>12</v>
      </c>
      <c r="G42" s="215"/>
      <c r="H42" s="215"/>
      <c r="I42" s="215"/>
      <c r="J42" s="215"/>
      <c r="K42" s="215"/>
      <c r="L42" s="215"/>
      <c r="M42" s="215"/>
      <c r="O42"/>
      <c r="P42"/>
      <c r="Q42"/>
      <c r="R42"/>
      <c r="S42"/>
      <c r="T42"/>
      <c r="U42"/>
      <c r="V42"/>
      <c r="W42"/>
    </row>
    <row r="43" spans="4:23" s="87" customFormat="1" ht="15.75" thickBot="1" x14ac:dyDescent="0.3">
      <c r="D43" s="6" t="s">
        <v>228</v>
      </c>
      <c r="E43" s="68"/>
      <c r="F43" s="68">
        <f t="shared" ref="F43" si="8">F41/F39</f>
        <v>57.299064810454688</v>
      </c>
      <c r="G43" s="68"/>
      <c r="H43" s="68"/>
      <c r="I43" s="68"/>
      <c r="J43" s="68"/>
      <c r="K43" s="68"/>
      <c r="L43" s="68"/>
      <c r="M43" s="68"/>
      <c r="O43"/>
      <c r="P43"/>
      <c r="Q43"/>
      <c r="R43"/>
      <c r="S43"/>
      <c r="T43"/>
      <c r="U43"/>
      <c r="V43"/>
      <c r="W43"/>
    </row>
    <row r="44" spans="4:23" s="79" customFormat="1" ht="16.5" thickTop="1" thickBot="1" x14ac:dyDescent="0.3">
      <c r="D44" s="90" t="s">
        <v>344</v>
      </c>
      <c r="E44" s="91"/>
      <c r="F44" s="91">
        <f>AVERAGE(F43,M36)</f>
        <v>57.259571292603361</v>
      </c>
      <c r="G44" s="91"/>
      <c r="H44" s="91"/>
      <c r="I44" s="91"/>
      <c r="J44" s="91"/>
      <c r="K44" s="91"/>
      <c r="L44" s="91"/>
      <c r="M44" s="91"/>
      <c r="O44"/>
      <c r="P44"/>
      <c r="Q44"/>
      <c r="R44"/>
      <c r="S44"/>
      <c r="T44"/>
      <c r="U44"/>
      <c r="V44"/>
      <c r="W44"/>
    </row>
    <row r="45" spans="4:23" ht="15.75" thickTop="1" x14ac:dyDescent="0.25">
      <c r="P45"/>
      <c r="Q45"/>
      <c r="R45"/>
      <c r="S45"/>
      <c r="T45"/>
      <c r="U45"/>
    </row>
    <row r="46" spans="4:23" x14ac:dyDescent="0.25">
      <c r="D46" s="228" t="s">
        <v>363</v>
      </c>
      <c r="E46" s="228"/>
      <c r="F46" s="228"/>
      <c r="G46" s="228"/>
      <c r="H46" s="228"/>
      <c r="I46" s="228"/>
      <c r="J46" s="228"/>
      <c r="K46" s="228"/>
      <c r="L46" s="228"/>
      <c r="M46" s="228"/>
      <c r="P46"/>
      <c r="Q46"/>
      <c r="R46"/>
      <c r="S46"/>
      <c r="T46"/>
      <c r="U46"/>
    </row>
    <row r="47" spans="4:23" ht="15.75" x14ac:dyDescent="0.25">
      <c r="D47" s="163"/>
      <c r="E47" s="30" t="str">
        <f t="shared" ref="E47:M47" si="9">E4</f>
        <v>Q4-24</v>
      </c>
      <c r="F47" s="30">
        <f t="shared" si="9"/>
        <v>45657</v>
      </c>
      <c r="G47" s="30">
        <f t="shared" si="9"/>
        <v>46022</v>
      </c>
      <c r="H47" s="30">
        <f t="shared" si="9"/>
        <v>46387</v>
      </c>
      <c r="I47" s="30">
        <f t="shared" si="9"/>
        <v>46752</v>
      </c>
      <c r="J47" s="30">
        <f t="shared" si="9"/>
        <v>47118</v>
      </c>
      <c r="K47" s="30">
        <f t="shared" si="9"/>
        <v>47483</v>
      </c>
      <c r="L47" s="30">
        <f t="shared" si="9"/>
        <v>47848</v>
      </c>
      <c r="M47" s="30">
        <f t="shared" si="9"/>
        <v>48213</v>
      </c>
      <c r="P47"/>
      <c r="Q47"/>
      <c r="R47"/>
      <c r="S47"/>
      <c r="T47"/>
      <c r="U47"/>
    </row>
    <row r="48" spans="4:23" x14ac:dyDescent="0.25">
      <c r="D48" t="s">
        <v>224</v>
      </c>
      <c r="E48" s="63">
        <f>'3-Statement (Downside)'!J81+'3-Statement (Downside)'!J82+'3-Statement (Downside)'!J83</f>
        <v>526832.95386318036</v>
      </c>
      <c r="F48" s="63">
        <f>'3-Statement (Downside)'!K81+'3-Statement (Downside)'!K82+'3-Statement (Downside)'!K83</f>
        <v>526832.95386318036</v>
      </c>
      <c r="G48" s="63">
        <f>'3-Statement (Downside)'!L81+'3-Statement (Downside)'!L82+'3-Statement (Downside)'!L83</f>
        <v>524098.46468511724</v>
      </c>
      <c r="H48" s="63">
        <f>'3-Statement (Downside)'!M81+'3-Statement (Downside)'!M82+'3-Statement (Downside)'!M83</f>
        <v>521820.74621452426</v>
      </c>
      <c r="I48" s="63">
        <f>'3-Statement (Downside)'!N81+'3-Statement (Downside)'!N82+'3-Statement (Downside)'!N83</f>
        <v>507902.29906799656</v>
      </c>
      <c r="J48" s="63">
        <f>'3-Statement (Downside)'!O81+'3-Statement (Downside)'!O82+'3-Statement (Downside)'!O83</f>
        <v>510275.08467390249</v>
      </c>
      <c r="K48" s="63">
        <f>'3-Statement (Downside)'!P81+'3-Statement (Downside)'!P82+'3-Statement (Downside)'!P83</f>
        <v>508623.52033454366</v>
      </c>
      <c r="L48" s="63">
        <f>'3-Statement (Downside)'!Q81+'3-Statement (Downside)'!Q82+'3-Statement (Downside)'!Q83</f>
        <v>522263.44408694655</v>
      </c>
      <c r="M48" s="63">
        <f>'3-Statement (Downside)'!R81+'3-Statement (Downside)'!R82+'3-Statement (Downside)'!R83</f>
        <v>526567.73101345217</v>
      </c>
      <c r="P48"/>
      <c r="Q48"/>
      <c r="R48"/>
      <c r="S48"/>
      <c r="T48"/>
      <c r="U48"/>
    </row>
    <row r="49" spans="4:21" x14ac:dyDescent="0.25">
      <c r="D49" t="s">
        <v>232</v>
      </c>
      <c r="E49" s="63">
        <f t="shared" ref="E49:M49" si="10">E48+E52</f>
        <v>1935999.4547724873</v>
      </c>
      <c r="F49" s="63">
        <f t="shared" si="10"/>
        <v>1935999.4547724873</v>
      </c>
      <c r="G49" s="63">
        <f t="shared" si="10"/>
        <v>1956836.4128442211</v>
      </c>
      <c r="H49" s="63">
        <f t="shared" si="10"/>
        <v>1909390.5849196031</v>
      </c>
      <c r="I49" s="63">
        <f t="shared" si="10"/>
        <v>1874767.6980452691</v>
      </c>
      <c r="J49" s="63">
        <f t="shared" si="10"/>
        <v>1875449.4418269156</v>
      </c>
      <c r="K49" s="63">
        <f t="shared" si="10"/>
        <v>1880369.3541053897</v>
      </c>
      <c r="L49" s="63">
        <f t="shared" si="10"/>
        <v>1904050.4829078547</v>
      </c>
      <c r="M49" s="63">
        <f t="shared" si="10"/>
        <v>1934753.8145700835</v>
      </c>
      <c r="P49"/>
      <c r="Q49"/>
      <c r="R49"/>
      <c r="S49"/>
      <c r="T49"/>
      <c r="U49"/>
    </row>
    <row r="50" spans="4:21" ht="15.75" thickBot="1" x14ac:dyDescent="0.3">
      <c r="D50" s="6" t="s">
        <v>233</v>
      </c>
      <c r="E50" s="80">
        <f t="shared" ref="E50:M50" si="11">E48/E49</f>
        <v>0.27212453627735766</v>
      </c>
      <c r="F50" s="80">
        <f t="shared" si="11"/>
        <v>0.27212453627735766</v>
      </c>
      <c r="G50" s="80">
        <f t="shared" si="11"/>
        <v>0.26782947273724889</v>
      </c>
      <c r="H50" s="80">
        <f t="shared" si="11"/>
        <v>0.27329177714390795</v>
      </c>
      <c r="I50" s="80">
        <f t="shared" si="11"/>
        <v>0.27091479098853799</v>
      </c>
      <c r="J50" s="80">
        <f t="shared" si="11"/>
        <v>0.27208149326426662</v>
      </c>
      <c r="K50" s="80">
        <f t="shared" si="11"/>
        <v>0.27049128365343306</v>
      </c>
      <c r="L50" s="80">
        <f t="shared" si="11"/>
        <v>0.27429075477523518</v>
      </c>
      <c r="M50" s="80">
        <f t="shared" si="11"/>
        <v>0.27216265296805187</v>
      </c>
      <c r="P50"/>
      <c r="Q50"/>
      <c r="R50"/>
      <c r="S50"/>
      <c r="T50"/>
      <c r="U50"/>
    </row>
    <row r="51" spans="4:21" ht="15.75" thickTop="1" x14ac:dyDescent="0.25">
      <c r="E51" s="81"/>
      <c r="F51" s="81"/>
      <c r="G51" s="81"/>
      <c r="H51" s="81"/>
      <c r="I51" s="81"/>
      <c r="J51" s="81"/>
      <c r="K51" s="81"/>
      <c r="L51" s="81"/>
      <c r="M51" s="81"/>
      <c r="P51"/>
      <c r="Q51"/>
      <c r="R51"/>
      <c r="S51"/>
      <c r="T51"/>
      <c r="U51"/>
    </row>
    <row r="52" spans="4:21" x14ac:dyDescent="0.25">
      <c r="D52" t="s">
        <v>234</v>
      </c>
      <c r="E52" s="70">
        <f>'3-Statement (Downside)'!J88-'3-Statement (Downside)'!J89</f>
        <v>1409166.5009093068</v>
      </c>
      <c r="F52" s="70">
        <f>'3-Statement (Downside)'!K88-'3-Statement (Downside)'!K89</f>
        <v>1409166.5009093068</v>
      </c>
      <c r="G52" s="70">
        <f>'3-Statement (Downside)'!L88-'3-Statement (Downside)'!L89</f>
        <v>1432737.9481591037</v>
      </c>
      <c r="H52" s="70">
        <f>'3-Statement (Downside)'!M88-'3-Statement (Downside)'!M89</f>
        <v>1387569.8387050787</v>
      </c>
      <c r="I52" s="70">
        <f>'3-Statement (Downside)'!N88-'3-Statement (Downside)'!N89</f>
        <v>1366865.3989772727</v>
      </c>
      <c r="J52" s="70">
        <f>'3-Statement (Downside)'!O88-'3-Statement (Downside)'!O89</f>
        <v>1365174.3571530131</v>
      </c>
      <c r="K52" s="70">
        <f>'3-Statement (Downside)'!P88-'3-Statement (Downside)'!P89</f>
        <v>1371745.833770846</v>
      </c>
      <c r="L52" s="70">
        <f>'3-Statement (Downside)'!Q88-'3-Statement (Downside)'!Q89</f>
        <v>1381787.0388209082</v>
      </c>
      <c r="M52" s="70">
        <f>'3-Statement (Downside)'!R88-'3-Statement (Downside)'!R89</f>
        <v>1408186.0835566313</v>
      </c>
      <c r="P52"/>
      <c r="Q52"/>
      <c r="R52"/>
      <c r="S52"/>
      <c r="T52"/>
      <c r="U52"/>
    </row>
    <row r="53" spans="4:21" x14ac:dyDescent="0.25">
      <c r="D53" t="s">
        <v>232</v>
      </c>
      <c r="E53" s="70">
        <f t="shared" ref="E53:M53" si="12">E48+E52</f>
        <v>1935999.4547724873</v>
      </c>
      <c r="F53" s="70">
        <f t="shared" si="12"/>
        <v>1935999.4547724873</v>
      </c>
      <c r="G53" s="70">
        <f t="shared" si="12"/>
        <v>1956836.4128442211</v>
      </c>
      <c r="H53" s="70">
        <f t="shared" si="12"/>
        <v>1909390.5849196031</v>
      </c>
      <c r="I53" s="70">
        <f t="shared" si="12"/>
        <v>1874767.6980452691</v>
      </c>
      <c r="J53" s="70">
        <f t="shared" si="12"/>
        <v>1875449.4418269156</v>
      </c>
      <c r="K53" s="70">
        <f t="shared" si="12"/>
        <v>1880369.3541053897</v>
      </c>
      <c r="L53" s="70">
        <f t="shared" si="12"/>
        <v>1904050.4829078547</v>
      </c>
      <c r="M53" s="70">
        <f t="shared" si="12"/>
        <v>1934753.8145700835</v>
      </c>
      <c r="P53"/>
      <c r="Q53"/>
      <c r="R53"/>
      <c r="S53"/>
      <c r="T53"/>
      <c r="U53"/>
    </row>
    <row r="54" spans="4:21" ht="15.75" thickBot="1" x14ac:dyDescent="0.3">
      <c r="D54" s="6" t="s">
        <v>235</v>
      </c>
      <c r="E54" s="80">
        <f t="shared" ref="E54:M54" si="13">E52/E53</f>
        <v>0.72787546372264234</v>
      </c>
      <c r="F54" s="80">
        <f t="shared" si="13"/>
        <v>0.72787546372264234</v>
      </c>
      <c r="G54" s="80">
        <f t="shared" si="13"/>
        <v>0.732170527262751</v>
      </c>
      <c r="H54" s="80">
        <f t="shared" si="13"/>
        <v>0.72670822285609193</v>
      </c>
      <c r="I54" s="80">
        <f t="shared" si="13"/>
        <v>0.72908520901146212</v>
      </c>
      <c r="J54" s="80">
        <f t="shared" si="13"/>
        <v>0.72791850673573344</v>
      </c>
      <c r="K54" s="80">
        <f t="shared" si="13"/>
        <v>0.729508716346567</v>
      </c>
      <c r="L54" s="80">
        <f t="shared" si="13"/>
        <v>0.72570924522476477</v>
      </c>
      <c r="M54" s="80">
        <f t="shared" si="13"/>
        <v>0.72783734703194813</v>
      </c>
      <c r="P54"/>
      <c r="Q54"/>
      <c r="R54"/>
      <c r="S54"/>
      <c r="T54"/>
      <c r="U54"/>
    </row>
    <row r="55" spans="4:21" ht="15.75" thickTop="1" x14ac:dyDescent="0.25">
      <c r="E55" s="81"/>
      <c r="F55" s="81"/>
      <c r="G55" s="81"/>
      <c r="H55" s="81"/>
      <c r="I55" s="81"/>
      <c r="J55" s="81"/>
      <c r="K55" s="81"/>
      <c r="L55" s="81"/>
      <c r="M55" s="81"/>
      <c r="P55"/>
      <c r="Q55"/>
      <c r="R55"/>
      <c r="S55"/>
      <c r="T55"/>
      <c r="U55"/>
    </row>
    <row r="56" spans="4:21" x14ac:dyDescent="0.25">
      <c r="D56" t="s">
        <v>224</v>
      </c>
      <c r="E56" s="70">
        <f>E48</f>
        <v>526832.95386318036</v>
      </c>
      <c r="F56" s="70">
        <f t="shared" ref="F56:M56" si="14">F48</f>
        <v>526832.95386318036</v>
      </c>
      <c r="G56" s="70">
        <f t="shared" si="14"/>
        <v>524098.46468511724</v>
      </c>
      <c r="H56" s="70">
        <f t="shared" si="14"/>
        <v>521820.74621452426</v>
      </c>
      <c r="I56" s="70">
        <f t="shared" si="14"/>
        <v>507902.29906799656</v>
      </c>
      <c r="J56" s="70">
        <f t="shared" si="14"/>
        <v>510275.08467390249</v>
      </c>
      <c r="K56" s="70">
        <f t="shared" si="14"/>
        <v>508623.52033454366</v>
      </c>
      <c r="L56" s="70">
        <f t="shared" si="14"/>
        <v>522263.44408694655</v>
      </c>
      <c r="M56" s="70">
        <f t="shared" si="14"/>
        <v>526567.73101345217</v>
      </c>
      <c r="P56"/>
      <c r="Q56"/>
      <c r="R56"/>
      <c r="S56"/>
      <c r="T56"/>
      <c r="U56"/>
    </row>
    <row r="57" spans="4:21" x14ac:dyDescent="0.25">
      <c r="D57" t="s">
        <v>230</v>
      </c>
      <c r="E57" s="70">
        <f t="shared" ref="E57:M57" si="15">E9</f>
        <v>96583.253815088305</v>
      </c>
      <c r="F57" s="70">
        <f t="shared" si="15"/>
        <v>396112.25381508825</v>
      </c>
      <c r="G57" s="70">
        <f t="shared" si="15"/>
        <v>297457.208358982</v>
      </c>
      <c r="H57" s="70">
        <f t="shared" si="15"/>
        <v>306811.64462443889</v>
      </c>
      <c r="I57" s="70">
        <f t="shared" si="15"/>
        <v>344864.14145383309</v>
      </c>
      <c r="J57" s="70">
        <f t="shared" si="15"/>
        <v>362435.56956579979</v>
      </c>
      <c r="K57" s="70">
        <f t="shared" si="15"/>
        <v>395237.3675180719</v>
      </c>
      <c r="L57" s="70">
        <f t="shared" si="15"/>
        <v>415201.20036686194</v>
      </c>
      <c r="M57" s="70">
        <f t="shared" si="15"/>
        <v>435420.34091720282</v>
      </c>
      <c r="P57"/>
      <c r="Q57"/>
      <c r="R57"/>
      <c r="S57"/>
      <c r="T57"/>
      <c r="U57"/>
    </row>
    <row r="58" spans="4:21" x14ac:dyDescent="0.25">
      <c r="D58" s="71" t="s">
        <v>242</v>
      </c>
      <c r="E58" s="84">
        <f>'3-Statement (Downside)'!J99</f>
        <v>20499.369202312431</v>
      </c>
      <c r="F58" s="84">
        <f>'3-Statement (Downside)'!K99</f>
        <v>82224.369202312431</v>
      </c>
      <c r="G58" s="84">
        <f>'3-Statement (Downside)'!L99</f>
        <v>74183.921100748557</v>
      </c>
      <c r="H58" s="84">
        <f>'3-Statement (Downside)'!M99</f>
        <v>71112.584254158763</v>
      </c>
      <c r="I58" s="84">
        <f>'3-Statement (Downside)'!N99</f>
        <v>70386.980010047322</v>
      </c>
      <c r="J58" s="84">
        <f>'3-Statement (Downside)'!O99</f>
        <v>72461.865471062076</v>
      </c>
      <c r="K58" s="84">
        <f>'3-Statement (Downside)'!P99</f>
        <v>75699.673643804257</v>
      </c>
      <c r="L58" s="84">
        <f>'3-Statement (Downside)'!Q99</f>
        <v>77747.803620940351</v>
      </c>
      <c r="M58" s="84">
        <f>'3-Statement (Downside)'!R99</f>
        <v>81203.755406470751</v>
      </c>
      <c r="P58"/>
      <c r="Q58"/>
      <c r="R58"/>
      <c r="S58"/>
      <c r="T58"/>
      <c r="U58"/>
    </row>
    <row r="59" spans="4:21" x14ac:dyDescent="0.25">
      <c r="D59" t="s">
        <v>327</v>
      </c>
      <c r="E59" s="70">
        <f>(E57+E58)*4</f>
        <v>468330.49206960294</v>
      </c>
      <c r="F59" s="70">
        <f>(F57+F58)</f>
        <v>478336.62301740068</v>
      </c>
      <c r="G59" s="70">
        <f t="shared" ref="G59:M59" si="16">(G57+G58)</f>
        <v>371641.12945973058</v>
      </c>
      <c r="H59" s="70">
        <f t="shared" si="16"/>
        <v>377924.22887859767</v>
      </c>
      <c r="I59" s="70">
        <f t="shared" si="16"/>
        <v>415251.12146388041</v>
      </c>
      <c r="J59" s="70">
        <f t="shared" si="16"/>
        <v>434897.43503686186</v>
      </c>
      <c r="K59" s="70">
        <f t="shared" si="16"/>
        <v>470937.04116187617</v>
      </c>
      <c r="L59" s="70">
        <f t="shared" si="16"/>
        <v>492949.00398780231</v>
      </c>
      <c r="M59" s="70">
        <f t="shared" si="16"/>
        <v>516624.09632367356</v>
      </c>
      <c r="N59" s="77"/>
      <c r="P59"/>
      <c r="Q59"/>
      <c r="R59"/>
      <c r="S59"/>
      <c r="T59"/>
      <c r="U59"/>
    </row>
    <row r="60" spans="4:21" ht="15.75" thickBot="1" x14ac:dyDescent="0.3">
      <c r="D60" s="6" t="s">
        <v>236</v>
      </c>
      <c r="E60" s="68">
        <f t="shared" ref="E60:M60" si="17">E56/E59</f>
        <v>1.1249170463683642</v>
      </c>
      <c r="F60" s="68">
        <f t="shared" si="17"/>
        <v>1.1013853602508197</v>
      </c>
      <c r="G60" s="68">
        <f t="shared" si="17"/>
        <v>1.4102272949364349</v>
      </c>
      <c r="H60" s="68">
        <f t="shared" si="17"/>
        <v>1.3807549406475104</v>
      </c>
      <c r="I60" s="68">
        <f t="shared" si="17"/>
        <v>1.2231208365614858</v>
      </c>
      <c r="J60" s="68">
        <f t="shared" si="17"/>
        <v>1.1733228195072054</v>
      </c>
      <c r="K60" s="68">
        <f t="shared" si="17"/>
        <v>1.0800244531194425</v>
      </c>
      <c r="L60" s="68">
        <f t="shared" si="17"/>
        <v>1.0594674902718124</v>
      </c>
      <c r="M60" s="68">
        <f t="shared" si="17"/>
        <v>1.0192473304294905</v>
      </c>
      <c r="P60"/>
      <c r="Q60"/>
      <c r="R60"/>
      <c r="S60"/>
      <c r="T60"/>
      <c r="U60"/>
    </row>
    <row r="61" spans="4:21" ht="15.75" thickTop="1" x14ac:dyDescent="0.25">
      <c r="E61" s="69"/>
      <c r="F61" s="69"/>
      <c r="G61" s="69"/>
      <c r="H61" s="69"/>
      <c r="I61" s="69"/>
      <c r="J61" s="69"/>
      <c r="K61" s="69"/>
      <c r="L61" s="69"/>
      <c r="M61" s="69"/>
      <c r="P61"/>
      <c r="Q61"/>
      <c r="R61"/>
      <c r="S61"/>
      <c r="T61"/>
      <c r="U61"/>
    </row>
    <row r="62" spans="4:21" x14ac:dyDescent="0.25">
      <c r="D62" t="s">
        <v>230</v>
      </c>
      <c r="E62" s="70">
        <f t="shared" ref="E62:M62" si="18">E57</f>
        <v>96583.253815088305</v>
      </c>
      <c r="F62" s="70">
        <f t="shared" si="18"/>
        <v>396112.25381508825</v>
      </c>
      <c r="G62" s="70">
        <f t="shared" si="18"/>
        <v>297457.208358982</v>
      </c>
      <c r="H62" s="70">
        <f t="shared" si="18"/>
        <v>306811.64462443889</v>
      </c>
      <c r="I62" s="70">
        <f t="shared" si="18"/>
        <v>344864.14145383309</v>
      </c>
      <c r="J62" s="70">
        <f t="shared" si="18"/>
        <v>362435.56956579979</v>
      </c>
      <c r="K62" s="70">
        <f t="shared" si="18"/>
        <v>395237.3675180719</v>
      </c>
      <c r="L62" s="70">
        <f t="shared" si="18"/>
        <v>415201.20036686194</v>
      </c>
      <c r="M62" s="70">
        <f t="shared" si="18"/>
        <v>435420.34091720282</v>
      </c>
      <c r="P62"/>
      <c r="Q62"/>
      <c r="R62"/>
      <c r="S62"/>
      <c r="T62"/>
      <c r="U62"/>
    </row>
    <row r="63" spans="4:21" x14ac:dyDescent="0.25">
      <c r="D63" t="s">
        <v>237</v>
      </c>
      <c r="E63" s="70">
        <f>-'3-Statement (Downside)'!J60</f>
        <v>4723.6237999999994</v>
      </c>
      <c r="F63" s="70">
        <f>-'3-Statement (Downside)'!K60</f>
        <v>18790.623800000001</v>
      </c>
      <c r="G63" s="70">
        <f>-'3-Statement (Downside)'!L60</f>
        <v>18747.68998130754</v>
      </c>
      <c r="H63" s="70">
        <f>-'3-Statement (Downside)'!M60</f>
        <v>18589.578469270891</v>
      </c>
      <c r="I63" s="70">
        <f>-'3-Statement (Downside)'!N60</f>
        <v>18430.883934963495</v>
      </c>
      <c r="J63" s="70">
        <f>-'3-Statement (Downside)'!O60</f>
        <v>18332.077035388844</v>
      </c>
      <c r="K63" s="70">
        <f>-'3-Statement (Downside)'!P60</f>
        <v>18153.481290223386</v>
      </c>
      <c r="L63" s="70">
        <f>-'3-Statement (Downside)'!Q60</f>
        <v>17996.658104854905</v>
      </c>
      <c r="M63" s="70">
        <f>-'3-Statement (Downside)'!R60</f>
        <v>17765.011944444101</v>
      </c>
      <c r="P63"/>
      <c r="Q63"/>
      <c r="R63"/>
      <c r="S63"/>
      <c r="T63"/>
      <c r="U63"/>
    </row>
    <row r="64" spans="4:21" ht="15.75" thickBot="1" x14ac:dyDescent="0.3">
      <c r="D64" s="6" t="s">
        <v>238</v>
      </c>
      <c r="E64" s="68">
        <f t="shared" ref="E64:M64" si="19">E62/E63</f>
        <v>20.446855614345985</v>
      </c>
      <c r="F64" s="68">
        <f t="shared" si="19"/>
        <v>21.080314205166953</v>
      </c>
      <c r="G64" s="68">
        <f t="shared" si="19"/>
        <v>15.866339194618799</v>
      </c>
      <c r="H64" s="68">
        <f t="shared" si="19"/>
        <v>16.504497137017246</v>
      </c>
      <c r="I64" s="68">
        <f t="shared" si="19"/>
        <v>18.711210090126158</v>
      </c>
      <c r="J64" s="68">
        <f t="shared" si="19"/>
        <v>19.770567670326841</v>
      </c>
      <c r="K64" s="68">
        <f t="shared" si="19"/>
        <v>21.77198748820306</v>
      </c>
      <c r="L64" s="68">
        <f t="shared" si="19"/>
        <v>23.071016738093967</v>
      </c>
      <c r="M64" s="68">
        <f t="shared" si="19"/>
        <v>24.509994267320369</v>
      </c>
      <c r="P64"/>
      <c r="Q64"/>
      <c r="R64"/>
      <c r="S64"/>
      <c r="T64"/>
      <c r="U64"/>
    </row>
    <row r="65" spans="4:21" ht="15.75" thickTop="1" x14ac:dyDescent="0.25">
      <c r="P65"/>
      <c r="Q65"/>
      <c r="R65"/>
      <c r="S65"/>
      <c r="T65"/>
      <c r="U65"/>
    </row>
    <row r="66" spans="4:21" x14ac:dyDescent="0.25">
      <c r="D66" t="s">
        <v>336</v>
      </c>
      <c r="E66" s="63">
        <f>E59/4</f>
        <v>117082.62301740074</v>
      </c>
      <c r="F66" s="63">
        <f t="shared" ref="F66:M66" si="20">F59</f>
        <v>478336.62301740068</v>
      </c>
      <c r="G66" s="63">
        <f t="shared" si="20"/>
        <v>371641.12945973058</v>
      </c>
      <c r="H66" s="63">
        <f t="shared" si="20"/>
        <v>377924.22887859767</v>
      </c>
      <c r="I66" s="63">
        <f t="shared" si="20"/>
        <v>415251.12146388041</v>
      </c>
      <c r="J66" s="63">
        <f t="shared" si="20"/>
        <v>434897.43503686186</v>
      </c>
      <c r="K66" s="63">
        <f t="shared" si="20"/>
        <v>470937.04116187617</v>
      </c>
      <c r="L66" s="63">
        <f t="shared" si="20"/>
        <v>492949.00398780231</v>
      </c>
      <c r="M66" s="63">
        <f t="shared" si="20"/>
        <v>516624.09632367356</v>
      </c>
      <c r="P66"/>
      <c r="Q66"/>
      <c r="R66"/>
      <c r="S66"/>
      <c r="T66"/>
      <c r="U66"/>
    </row>
    <row r="67" spans="4:21" x14ac:dyDescent="0.25">
      <c r="D67" t="s">
        <v>237</v>
      </c>
      <c r="E67" s="63">
        <f t="shared" ref="E67:M67" si="21">E63</f>
        <v>4723.6237999999994</v>
      </c>
      <c r="F67" s="63">
        <f t="shared" si="21"/>
        <v>18790.623800000001</v>
      </c>
      <c r="G67" s="63">
        <f t="shared" si="21"/>
        <v>18747.68998130754</v>
      </c>
      <c r="H67" s="63">
        <f t="shared" si="21"/>
        <v>18589.578469270891</v>
      </c>
      <c r="I67" s="63">
        <f t="shared" si="21"/>
        <v>18430.883934963495</v>
      </c>
      <c r="J67" s="63">
        <f t="shared" si="21"/>
        <v>18332.077035388844</v>
      </c>
      <c r="K67" s="63">
        <f t="shared" si="21"/>
        <v>18153.481290223386</v>
      </c>
      <c r="L67" s="63">
        <f t="shared" si="21"/>
        <v>17996.658104854905</v>
      </c>
      <c r="M67" s="63">
        <f t="shared" si="21"/>
        <v>17765.011944444101</v>
      </c>
      <c r="P67"/>
      <c r="Q67"/>
      <c r="R67"/>
      <c r="S67"/>
      <c r="T67"/>
      <c r="U67"/>
    </row>
    <row r="68" spans="4:21" x14ac:dyDescent="0.25">
      <c r="D68" s="71" t="s">
        <v>357</v>
      </c>
      <c r="E68" s="76">
        <f>'3-Statement (Downside)'!J83*0.01</f>
        <v>2179.6708229426436</v>
      </c>
      <c r="F68" s="76">
        <f>'3-Statement (Downside)'!K83*0.01</f>
        <v>2179.6708229426436</v>
      </c>
      <c r="G68" s="76">
        <f>'3-Statement (Downside)'!L83*0.01</f>
        <v>2158.0899237055878</v>
      </c>
      <c r="H68" s="76">
        <f>'3-Statement (Downside)'!M83*0.01</f>
        <v>2136.7226967382057</v>
      </c>
      <c r="I68" s="76">
        <f>'3-Statement (Downside)'!N83*0.01</f>
        <v>2115.5670264734708</v>
      </c>
      <c r="J68" s="76">
        <f>'3-Statement (Downside)'!O83*0.01</f>
        <v>2094.6208182905652</v>
      </c>
      <c r="K68" s="76">
        <f>'3-Statement (Downside)'!P83*0.01</f>
        <v>2073.8819983074904</v>
      </c>
      <c r="L68" s="76">
        <f>'3-Statement (Downside)'!Q83*0.01</f>
        <v>2053.3485131757329</v>
      </c>
      <c r="M68" s="76">
        <f>'3-Statement (Downside)'!R83*0.01</f>
        <v>2033.0183298769634</v>
      </c>
      <c r="P68"/>
      <c r="Q68"/>
      <c r="R68"/>
      <c r="S68"/>
      <c r="T68"/>
      <c r="U68"/>
    </row>
    <row r="69" spans="4:21" x14ac:dyDescent="0.25">
      <c r="D69" t="s">
        <v>337</v>
      </c>
      <c r="E69" s="63">
        <f t="shared" ref="E69:M69" si="22">(E67+E68)</f>
        <v>6903.2946229426434</v>
      </c>
      <c r="F69" s="63">
        <f t="shared" si="22"/>
        <v>20970.294622942645</v>
      </c>
      <c r="G69" s="63">
        <f t="shared" si="22"/>
        <v>20905.779905013129</v>
      </c>
      <c r="H69" s="63">
        <f t="shared" si="22"/>
        <v>20726.301166009096</v>
      </c>
      <c r="I69" s="63">
        <f t="shared" si="22"/>
        <v>20546.450961436967</v>
      </c>
      <c r="J69" s="63">
        <f t="shared" si="22"/>
        <v>20426.697853679409</v>
      </c>
      <c r="K69" s="63">
        <f t="shared" si="22"/>
        <v>20227.363288530876</v>
      </c>
      <c r="L69" s="63">
        <f t="shared" si="22"/>
        <v>20050.006618030638</v>
      </c>
      <c r="M69" s="63">
        <f t="shared" si="22"/>
        <v>19798.030274321063</v>
      </c>
      <c r="P69"/>
      <c r="Q69"/>
      <c r="R69"/>
      <c r="S69"/>
      <c r="T69"/>
      <c r="U69"/>
    </row>
    <row r="70" spans="4:21" ht="15.75" thickBot="1" x14ac:dyDescent="0.3">
      <c r="D70" s="6" t="s">
        <v>239</v>
      </c>
      <c r="E70" s="68">
        <f t="shared" ref="E70:M70" si="23">E66/E69</f>
        <v>16.960397811833843</v>
      </c>
      <c r="F70" s="68">
        <f t="shared" si="23"/>
        <v>22.810200410540457</v>
      </c>
      <c r="G70" s="68">
        <f t="shared" si="23"/>
        <v>17.776955997255687</v>
      </c>
      <c r="H70" s="68">
        <f t="shared" si="23"/>
        <v>18.234041175585599</v>
      </c>
      <c r="I70" s="68">
        <f t="shared" si="23"/>
        <v>20.210357605956041</v>
      </c>
      <c r="J70" s="68">
        <f t="shared" si="23"/>
        <v>21.290638269196549</v>
      </c>
      <c r="K70" s="68">
        <f t="shared" si="23"/>
        <v>23.282176448024856</v>
      </c>
      <c r="L70" s="68">
        <f t="shared" si="23"/>
        <v>24.585977121049996</v>
      </c>
      <c r="M70" s="68">
        <f t="shared" si="23"/>
        <v>26.094722008469613</v>
      </c>
      <c r="P70"/>
      <c r="Q70"/>
      <c r="R70"/>
      <c r="S70"/>
      <c r="T70"/>
      <c r="U70"/>
    </row>
    <row r="71" spans="4:21" ht="15.75" thickTop="1" x14ac:dyDescent="0.25">
      <c r="P71"/>
      <c r="Q71"/>
      <c r="R71"/>
      <c r="S71"/>
      <c r="T71"/>
      <c r="U71"/>
    </row>
    <row r="72" spans="4:21" x14ac:dyDescent="0.25">
      <c r="D72" t="s">
        <v>336</v>
      </c>
      <c r="E72" s="63">
        <f t="shared" ref="E72:M72" si="24">E66</f>
        <v>117082.62301740074</v>
      </c>
      <c r="F72" s="63">
        <f t="shared" si="24"/>
        <v>478336.62301740068</v>
      </c>
      <c r="G72" s="63">
        <f t="shared" si="24"/>
        <v>371641.12945973058</v>
      </c>
      <c r="H72" s="63">
        <f t="shared" si="24"/>
        <v>377924.22887859767</v>
      </c>
      <c r="I72" s="63">
        <f t="shared" si="24"/>
        <v>415251.12146388041</v>
      </c>
      <c r="J72" s="63">
        <f t="shared" si="24"/>
        <v>434897.43503686186</v>
      </c>
      <c r="K72" s="63">
        <f t="shared" si="24"/>
        <v>470937.04116187617</v>
      </c>
      <c r="L72" s="63">
        <f t="shared" si="24"/>
        <v>492949.00398780231</v>
      </c>
      <c r="M72" s="63">
        <f t="shared" si="24"/>
        <v>516624.09632367356</v>
      </c>
      <c r="P72"/>
      <c r="Q72"/>
      <c r="R72"/>
      <c r="S72"/>
      <c r="T72"/>
      <c r="U72"/>
    </row>
    <row r="73" spans="4:21" x14ac:dyDescent="0.25">
      <c r="D73" t="s">
        <v>237</v>
      </c>
      <c r="E73" s="63">
        <f t="shared" ref="E73:M73" si="25">E63</f>
        <v>4723.6237999999994</v>
      </c>
      <c r="F73" s="63">
        <f t="shared" si="25"/>
        <v>18790.623800000001</v>
      </c>
      <c r="G73" s="63">
        <f t="shared" si="25"/>
        <v>18747.68998130754</v>
      </c>
      <c r="H73" s="63">
        <f t="shared" si="25"/>
        <v>18589.578469270891</v>
      </c>
      <c r="I73" s="63">
        <f t="shared" si="25"/>
        <v>18430.883934963495</v>
      </c>
      <c r="J73" s="63">
        <f t="shared" si="25"/>
        <v>18332.077035388844</v>
      </c>
      <c r="K73" s="63">
        <f t="shared" si="25"/>
        <v>18153.481290223386</v>
      </c>
      <c r="L73" s="63">
        <f t="shared" si="25"/>
        <v>17996.658104854905</v>
      </c>
      <c r="M73" s="63">
        <f t="shared" si="25"/>
        <v>17765.011944444101</v>
      </c>
      <c r="P73"/>
      <c r="Q73"/>
      <c r="R73"/>
      <c r="S73"/>
      <c r="T73"/>
      <c r="U73"/>
    </row>
    <row r="74" spans="4:21" x14ac:dyDescent="0.25">
      <c r="D74" s="71" t="s">
        <v>339</v>
      </c>
      <c r="E74" s="76">
        <f>-'3-Statement (Downside)'!J59</f>
        <v>6260.0936533050226</v>
      </c>
      <c r="F74" s="76">
        <f>-'3-Statement (Downside)'!K59</f>
        <v>25113.093653305023</v>
      </c>
      <c r="G74" s="76">
        <f>-'3-Statement (Downside)'!L59</f>
        <v>19046.128045269783</v>
      </c>
      <c r="H74" s="76">
        <f>-'3-Statement (Downside)'!M59</f>
        <v>18565.403050886653</v>
      </c>
      <c r="I74" s="76">
        <f>-'3-Statement (Downside)'!N59</f>
        <v>19142.344145400628</v>
      </c>
      <c r="J74" s="76">
        <f>-'3-Statement (Downside)'!O59</f>
        <v>20035.489772072786</v>
      </c>
      <c r="K74" s="76">
        <f>-'3-Statement (Downside)'!P59</f>
        <v>20794.913310272306</v>
      </c>
      <c r="L74" s="76">
        <f>-'3-Statement (Downside)'!Q59</f>
        <v>20850.008350663946</v>
      </c>
      <c r="M74" s="76">
        <f>-'3-Statement (Downside)'!R59</f>
        <v>21964.514461121922</v>
      </c>
      <c r="P74"/>
      <c r="Q74"/>
      <c r="R74"/>
      <c r="S74"/>
      <c r="T74"/>
      <c r="U74"/>
    </row>
    <row r="75" spans="4:21" x14ac:dyDescent="0.25">
      <c r="D75" t="s">
        <v>338</v>
      </c>
      <c r="E75" s="63">
        <f t="shared" ref="E75:M75" si="26">SUM(E73:E74)</f>
        <v>10983.717453305022</v>
      </c>
      <c r="F75" s="63">
        <f t="shared" si="26"/>
        <v>43903.717453305027</v>
      </c>
      <c r="G75" s="63">
        <f t="shared" si="26"/>
        <v>37793.818026577326</v>
      </c>
      <c r="H75" s="63">
        <f t="shared" si="26"/>
        <v>37154.98152015754</v>
      </c>
      <c r="I75" s="63">
        <f t="shared" si="26"/>
        <v>37573.228080364119</v>
      </c>
      <c r="J75" s="63">
        <f t="shared" si="26"/>
        <v>38367.566807461626</v>
      </c>
      <c r="K75" s="63">
        <f t="shared" si="26"/>
        <v>38948.394600495696</v>
      </c>
      <c r="L75" s="63">
        <f t="shared" si="26"/>
        <v>38846.666455518847</v>
      </c>
      <c r="M75" s="63">
        <f t="shared" si="26"/>
        <v>39729.526405566023</v>
      </c>
      <c r="P75"/>
      <c r="Q75"/>
      <c r="R75"/>
      <c r="S75"/>
      <c r="T75"/>
      <c r="U75"/>
    </row>
    <row r="76" spans="4:21" ht="15.75" thickBot="1" x14ac:dyDescent="0.3">
      <c r="D76" s="6" t="s">
        <v>335</v>
      </c>
      <c r="E76" s="68">
        <f t="shared" ref="E76:M76" si="27">(E72+E75)/E75</f>
        <v>11.659653574953383</v>
      </c>
      <c r="F76" s="68">
        <f t="shared" si="27"/>
        <v>11.895128038443405</v>
      </c>
      <c r="G76" s="68">
        <f t="shared" si="27"/>
        <v>10.833384105262548</v>
      </c>
      <c r="H76" s="68">
        <f t="shared" si="27"/>
        <v>11.171562827276983</v>
      </c>
      <c r="I76" s="68">
        <f t="shared" si="27"/>
        <v>12.05178188511548</v>
      </c>
      <c r="J76" s="68">
        <f t="shared" si="27"/>
        <v>12.335027764968512</v>
      </c>
      <c r="K76" s="68">
        <f t="shared" si="27"/>
        <v>13.091308152554317</v>
      </c>
      <c r="L76" s="68">
        <f t="shared" si="27"/>
        <v>13.689608889664978</v>
      </c>
      <c r="M76" s="68">
        <f t="shared" si="27"/>
        <v>14.003530196909056</v>
      </c>
      <c r="P76"/>
      <c r="Q76"/>
      <c r="R76"/>
      <c r="S76"/>
      <c r="T76"/>
      <c r="U76"/>
    </row>
    <row r="77" spans="4:21" ht="15.75" thickTop="1" x14ac:dyDescent="0.25">
      <c r="P77"/>
      <c r="Q77"/>
      <c r="R77"/>
      <c r="S77"/>
      <c r="T77"/>
      <c r="U77"/>
    </row>
    <row r="78" spans="4:21" x14ac:dyDescent="0.25">
      <c r="D78" t="s">
        <v>240</v>
      </c>
      <c r="E78" s="63">
        <f>'Balance Sheet NWC (Downside)'!J11</f>
        <v>1262501.920502441</v>
      </c>
      <c r="F78" s="63">
        <f>'Balance Sheet NWC (Downside)'!K11</f>
        <v>1262501.920502441</v>
      </c>
      <c r="G78" s="63">
        <f>'Balance Sheet NWC (Downside)'!L11</f>
        <v>1363429.05556656</v>
      </c>
      <c r="H78" s="63">
        <f>'Balance Sheet NWC (Downside)'!M11</f>
        <v>1391074.2682952445</v>
      </c>
      <c r="I78" s="63">
        <f>'Balance Sheet NWC (Downside)'!N11</f>
        <v>1416170.8264965008</v>
      </c>
      <c r="J78" s="63">
        <f>'Balance Sheet NWC (Downside)'!O11</f>
        <v>1433881.2968230115</v>
      </c>
      <c r="K78" s="63">
        <f>'Balance Sheet NWC (Downside)'!P11</f>
        <v>1485309.5288850139</v>
      </c>
      <c r="L78" s="63">
        <f>'Balance Sheet NWC (Downside)'!Q11</f>
        <v>1542082.5856822887</v>
      </c>
      <c r="M78" s="63">
        <f>'Balance Sheet NWC (Downside)'!R11</f>
        <v>1610837.2766797449</v>
      </c>
      <c r="P78"/>
      <c r="Q78"/>
      <c r="R78"/>
      <c r="S78"/>
      <c r="T78"/>
      <c r="U78"/>
    </row>
    <row r="79" spans="4:21" x14ac:dyDescent="0.25">
      <c r="D79" t="s">
        <v>241</v>
      </c>
      <c r="E79" s="63">
        <f>'Balance Sheet NWC (Downside)'!J24</f>
        <v>599585.81881622109</v>
      </c>
      <c r="F79" s="63">
        <f>'Balance Sheet NWC (Downside)'!K24</f>
        <v>599585.81881622109</v>
      </c>
      <c r="G79" s="63">
        <f>'Balance Sheet NWC (Downside)'!L24</f>
        <v>631658.2365209352</v>
      </c>
      <c r="H79" s="63">
        <f>'Balance Sheet NWC (Downside)'!M24</f>
        <v>640443.27544636151</v>
      </c>
      <c r="I79" s="63">
        <f>'Balance Sheet NWC (Downside)'!N24</f>
        <v>648418.40817028168</v>
      </c>
      <c r="J79" s="63">
        <f>'Balance Sheet NWC (Downside)'!O24</f>
        <v>654046.40505831316</v>
      </c>
      <c r="K79" s="63">
        <f>'Balance Sheet NWC (Downside)'!P24</f>
        <v>670389.16302384564</v>
      </c>
      <c r="L79" s="63">
        <f>'Balance Sheet NWC (Downside)'!Q24</f>
        <v>688430.38841698575</v>
      </c>
      <c r="M79" s="63">
        <f>'Balance Sheet NWC (Downside)'!R24</f>
        <v>710279.11291935109</v>
      </c>
      <c r="P79"/>
      <c r="Q79"/>
      <c r="R79"/>
      <c r="S79"/>
      <c r="T79"/>
      <c r="U79"/>
    </row>
    <row r="80" spans="4:21" ht="15.75" thickBot="1" x14ac:dyDescent="0.3">
      <c r="D80" s="6" t="s">
        <v>325</v>
      </c>
      <c r="E80" s="68">
        <f t="shared" ref="E80:M80" si="28">E78/E79</f>
        <v>2.1056233834800056</v>
      </c>
      <c r="F80" s="68">
        <f t="shared" si="28"/>
        <v>2.1056233834800056</v>
      </c>
      <c r="G80" s="68">
        <f t="shared" si="28"/>
        <v>2.1584916917668839</v>
      </c>
      <c r="H80" s="68">
        <f t="shared" si="28"/>
        <v>2.1720491441271288</v>
      </c>
      <c r="I80" s="68">
        <f t="shared" si="28"/>
        <v>2.1840385909040987</v>
      </c>
      <c r="J80" s="68">
        <f t="shared" si="28"/>
        <v>2.1923234891799002</v>
      </c>
      <c r="K80" s="68">
        <f t="shared" si="28"/>
        <v>2.2155929880868044</v>
      </c>
      <c r="L80" s="68">
        <f t="shared" si="28"/>
        <v>2.2399978438317305</v>
      </c>
      <c r="M80" s="68">
        <f t="shared" si="28"/>
        <v>2.2678933497832534</v>
      </c>
      <c r="P80"/>
      <c r="Q80"/>
      <c r="R80"/>
      <c r="S80"/>
      <c r="T80"/>
      <c r="U80"/>
    </row>
    <row r="81" spans="4:21" ht="15.75" thickTop="1" x14ac:dyDescent="0.25">
      <c r="P81"/>
      <c r="Q81"/>
      <c r="R81"/>
      <c r="S81"/>
      <c r="T81"/>
      <c r="U81"/>
    </row>
    <row r="82" spans="4:21" x14ac:dyDescent="0.25">
      <c r="D82" t="s">
        <v>240</v>
      </c>
      <c r="E82" s="63">
        <f t="shared" ref="E82:M82" si="29">E78</f>
        <v>1262501.920502441</v>
      </c>
      <c r="F82" s="63">
        <f t="shared" si="29"/>
        <v>1262501.920502441</v>
      </c>
      <c r="G82" s="63">
        <f t="shared" si="29"/>
        <v>1363429.05556656</v>
      </c>
      <c r="H82" s="63">
        <f t="shared" si="29"/>
        <v>1391074.2682952445</v>
      </c>
      <c r="I82" s="63">
        <f t="shared" si="29"/>
        <v>1416170.8264965008</v>
      </c>
      <c r="J82" s="63">
        <f t="shared" si="29"/>
        <v>1433881.2968230115</v>
      </c>
      <c r="K82" s="63">
        <f t="shared" si="29"/>
        <v>1485309.5288850139</v>
      </c>
      <c r="L82" s="63">
        <f t="shared" si="29"/>
        <v>1542082.5856822887</v>
      </c>
      <c r="M82" s="63">
        <f t="shared" si="29"/>
        <v>1610837.2766797449</v>
      </c>
      <c r="P82"/>
      <c r="Q82"/>
      <c r="R82"/>
      <c r="S82"/>
      <c r="T82"/>
      <c r="U82"/>
    </row>
    <row r="83" spans="4:21" x14ac:dyDescent="0.25">
      <c r="D83" s="71" t="s">
        <v>358</v>
      </c>
      <c r="E83" s="76">
        <f>-'Balance Sheet NWC (Downside)'!J9-'Balance Sheet NWC (Downside)'!J10</f>
        <v>-799801.24880920991</v>
      </c>
      <c r="F83" s="76">
        <f>-'Balance Sheet NWC (Downside)'!K9-'Balance Sheet NWC (Downside)'!K10</f>
        <v>-799801.24880920991</v>
      </c>
      <c r="G83" s="76">
        <f>-'Balance Sheet NWC (Downside)'!L9-'Balance Sheet NWC (Downside)'!L10</f>
        <v>-865030.76265937369</v>
      </c>
      <c r="H83" s="76">
        <f>-'Balance Sheet NWC (Downside)'!M9-'Balance Sheet NWC (Downside)'!M10</f>
        <v>-882897.94758868753</v>
      </c>
      <c r="I83" s="76">
        <f>-'Balance Sheet NWC (Downside)'!N9-'Balance Sheet NWC (Downside)'!N10</f>
        <v>-899117.92935811228</v>
      </c>
      <c r="J83" s="76">
        <f>-'Balance Sheet NWC (Downside)'!O9-'Balance Sheet NWC (Downside)'!O10</f>
        <v>-910564.26010674704</v>
      </c>
      <c r="K83" s="76">
        <f>-'Balance Sheet NWC (Downside)'!P9-'Balance Sheet NWC (Downside)'!P10</f>
        <v>-943802.48264666775</v>
      </c>
      <c r="L83" s="76">
        <f>-'Balance Sheet NWC (Downside)'!Q9-'Balance Sheet NWC (Downside)'!Q10</f>
        <v>-980495.08164218348</v>
      </c>
      <c r="M83" s="76">
        <f>-'Balance Sheet NWC (Downside)'!R9-'Balance Sheet NWC (Downside)'!R10</f>
        <v>-1024931.447202675</v>
      </c>
      <c r="P83"/>
      <c r="Q83"/>
      <c r="R83"/>
      <c r="S83"/>
      <c r="T83"/>
      <c r="U83"/>
    </row>
    <row r="84" spans="4:21" x14ac:dyDescent="0.25">
      <c r="D84" t="s">
        <v>346</v>
      </c>
      <c r="E84" s="63">
        <f t="shared" ref="E84:M84" si="30">E82+E83</f>
        <v>462700.6716932311</v>
      </c>
      <c r="F84" s="63">
        <f t="shared" si="30"/>
        <v>462700.6716932311</v>
      </c>
      <c r="G84" s="63">
        <f t="shared" si="30"/>
        <v>498398.29290718632</v>
      </c>
      <c r="H84" s="63">
        <f t="shared" si="30"/>
        <v>508176.32070655702</v>
      </c>
      <c r="I84" s="63">
        <f t="shared" si="30"/>
        <v>517052.89713838848</v>
      </c>
      <c r="J84" s="63">
        <f t="shared" si="30"/>
        <v>523317.03671626444</v>
      </c>
      <c r="K84" s="63">
        <f t="shared" si="30"/>
        <v>541507.04623834614</v>
      </c>
      <c r="L84" s="63">
        <f t="shared" si="30"/>
        <v>561587.50404010527</v>
      </c>
      <c r="M84" s="63">
        <f t="shared" si="30"/>
        <v>585905.8294770699</v>
      </c>
      <c r="P84"/>
      <c r="Q84"/>
      <c r="R84"/>
      <c r="S84"/>
      <c r="T84"/>
      <c r="U84"/>
    </row>
    <row r="85" spans="4:21" x14ac:dyDescent="0.25">
      <c r="D85" t="s">
        <v>241</v>
      </c>
      <c r="E85" s="63">
        <f t="shared" ref="E85:M85" si="31">E79</f>
        <v>599585.81881622109</v>
      </c>
      <c r="F85" s="63">
        <f t="shared" si="31"/>
        <v>599585.81881622109</v>
      </c>
      <c r="G85" s="63">
        <f t="shared" si="31"/>
        <v>631658.2365209352</v>
      </c>
      <c r="H85" s="63">
        <f t="shared" si="31"/>
        <v>640443.27544636151</v>
      </c>
      <c r="I85" s="63">
        <f t="shared" si="31"/>
        <v>648418.40817028168</v>
      </c>
      <c r="J85" s="63">
        <f t="shared" si="31"/>
        <v>654046.40505831316</v>
      </c>
      <c r="K85" s="63">
        <f t="shared" si="31"/>
        <v>670389.16302384564</v>
      </c>
      <c r="L85" s="63">
        <f t="shared" si="31"/>
        <v>688430.38841698575</v>
      </c>
      <c r="M85" s="63">
        <f t="shared" si="31"/>
        <v>710279.11291935109</v>
      </c>
      <c r="P85"/>
      <c r="Q85"/>
      <c r="R85"/>
      <c r="S85"/>
      <c r="T85"/>
      <c r="U85"/>
    </row>
    <row r="86" spans="4:21" ht="15.75" thickBot="1" x14ac:dyDescent="0.3">
      <c r="D86" s="6" t="s">
        <v>347</v>
      </c>
      <c r="E86" s="68">
        <f t="shared" ref="E86:M86" si="32">E84/E85</f>
        <v>0.77170049252791517</v>
      </c>
      <c r="F86" s="68">
        <f t="shared" si="32"/>
        <v>0.77170049252791517</v>
      </c>
      <c r="G86" s="68">
        <f t="shared" si="32"/>
        <v>0.78903157449870087</v>
      </c>
      <c r="H86" s="68">
        <f t="shared" si="32"/>
        <v>0.79347592548673407</v>
      </c>
      <c r="I86" s="68">
        <f t="shared" si="32"/>
        <v>0.79740625901941509</v>
      </c>
      <c r="J86" s="68">
        <f t="shared" si="32"/>
        <v>0.80012218195680895</v>
      </c>
      <c r="K86" s="68">
        <f t="shared" si="32"/>
        <v>0.80775029804454768</v>
      </c>
      <c r="L86" s="68">
        <f t="shared" si="32"/>
        <v>0.81575060236874508</v>
      </c>
      <c r="M86" s="68">
        <f t="shared" si="32"/>
        <v>0.82489519798619904</v>
      </c>
      <c r="P86"/>
      <c r="Q86"/>
      <c r="R86"/>
      <c r="S86"/>
      <c r="T86"/>
      <c r="U86"/>
    </row>
    <row r="87" spans="4:21" ht="15.75" thickTop="1" x14ac:dyDescent="0.25"/>
  </sheetData>
  <mergeCells count="2">
    <mergeCell ref="D46:M46"/>
    <mergeCell ref="D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D164-B6FC-4168-A098-14E4990F4A72}">
  <sheetPr>
    <tabColor theme="0" tint="-0.249977111117893"/>
  </sheetPr>
  <dimension ref="B1:T123"/>
  <sheetViews>
    <sheetView showGridLines="0" zoomScale="70" zoomScaleNormal="70" workbookViewId="0">
      <selection activeCell="C1" sqref="C1"/>
    </sheetView>
  </sheetViews>
  <sheetFormatPr defaultRowHeight="15.75" x14ac:dyDescent="0.25"/>
  <cols>
    <col min="1" max="1" width="2.7109375" style="31" customWidth="1"/>
    <col min="2" max="2" width="36.5703125" style="31" bestFit="1" customWidth="1"/>
    <col min="3" max="18" width="16.5703125" style="31" customWidth="1"/>
    <col min="19" max="19" width="12.7109375" style="31" bestFit="1" customWidth="1"/>
    <col min="20" max="20" width="14" style="31" bestFit="1" customWidth="1"/>
    <col min="21" max="16384" width="9.140625" style="31"/>
  </cols>
  <sheetData>
    <row r="1" spans="2:19" s="82" customFormat="1" x14ac:dyDescent="0.25">
      <c r="C1" s="82" t="s">
        <v>333</v>
      </c>
      <c r="D1" s="82" t="s">
        <v>333</v>
      </c>
      <c r="E1" s="82" t="s">
        <v>333</v>
      </c>
      <c r="F1" s="82" t="s">
        <v>333</v>
      </c>
      <c r="G1" s="82" t="s">
        <v>333</v>
      </c>
      <c r="H1" s="82" t="s">
        <v>333</v>
      </c>
      <c r="I1" s="82" t="s">
        <v>333</v>
      </c>
      <c r="J1" s="82" t="s">
        <v>334</v>
      </c>
      <c r="K1" s="82" t="s">
        <v>334</v>
      </c>
      <c r="L1" s="82" t="s">
        <v>334</v>
      </c>
      <c r="M1" s="82" t="s">
        <v>334</v>
      </c>
      <c r="N1" s="82" t="s">
        <v>334</v>
      </c>
      <c r="O1" s="82" t="s">
        <v>334</v>
      </c>
      <c r="P1" s="82" t="s">
        <v>334</v>
      </c>
      <c r="Q1" s="82" t="s">
        <v>334</v>
      </c>
      <c r="R1" s="82" t="s">
        <v>334</v>
      </c>
    </row>
    <row r="2" spans="2:19" x14ac:dyDescent="0.25">
      <c r="B2" s="29" t="s">
        <v>263</v>
      </c>
      <c r="C2" s="30">
        <v>44196</v>
      </c>
      <c r="D2" s="30">
        <f>EOMONTH(C2,12)</f>
        <v>44561</v>
      </c>
      <c r="E2" s="30">
        <f>EOMONTH(D2,12)</f>
        <v>44926</v>
      </c>
      <c r="F2" s="30">
        <f>EOMONTH(E2,12)</f>
        <v>45291</v>
      </c>
      <c r="G2" s="30" t="s">
        <v>214</v>
      </c>
      <c r="H2" s="30" t="s">
        <v>215</v>
      </c>
      <c r="I2" s="30" t="s">
        <v>216</v>
      </c>
      <c r="J2" s="30" t="s">
        <v>297</v>
      </c>
      <c r="K2" s="30">
        <f>EOMONTH(F2,12)</f>
        <v>45657</v>
      </c>
      <c r="L2" s="30">
        <f>EOMONTH(K2,12)</f>
        <v>46022</v>
      </c>
      <c r="M2" s="30">
        <f t="shared" ref="M2:R2" si="0">EOMONTH(L2,12)</f>
        <v>46387</v>
      </c>
      <c r="N2" s="30">
        <f t="shared" si="0"/>
        <v>46752</v>
      </c>
      <c r="O2" s="30">
        <f t="shared" si="0"/>
        <v>47118</v>
      </c>
      <c r="P2" s="30">
        <f t="shared" si="0"/>
        <v>47483</v>
      </c>
      <c r="Q2" s="30">
        <f t="shared" si="0"/>
        <v>47848</v>
      </c>
      <c r="R2" s="30">
        <f t="shared" si="0"/>
        <v>48213</v>
      </c>
    </row>
    <row r="3" spans="2:19" hidden="1" x14ac:dyDescent="0.25"/>
    <row r="4" spans="2:19" hidden="1" x14ac:dyDescent="0.25">
      <c r="B4" s="32" t="s">
        <v>303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2:19" hidden="1" x14ac:dyDescent="0.25">
      <c r="B5" s="34" t="s">
        <v>264</v>
      </c>
      <c r="D5" s="35"/>
      <c r="E5" s="35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</row>
    <row r="6" spans="2:19" hidden="1" x14ac:dyDescent="0.25"/>
    <row r="7" spans="2:19" hidden="1" x14ac:dyDescent="0.25">
      <c r="B7" s="32" t="s">
        <v>304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</row>
    <row r="9" spans="2:19" x14ac:dyDescent="0.25">
      <c r="B9" s="32" t="s">
        <v>0</v>
      </c>
      <c r="C9" s="50">
        <f>C48</f>
        <v>3192399</v>
      </c>
      <c r="D9" s="50">
        <f t="shared" ref="D9:I9" si="1">D48</f>
        <v>3243224</v>
      </c>
      <c r="E9" s="50">
        <f t="shared" si="1"/>
        <v>3691893</v>
      </c>
      <c r="F9" s="50">
        <f t="shared" si="1"/>
        <v>4009282</v>
      </c>
      <c r="G9" s="50">
        <f t="shared" si="1"/>
        <v>953969</v>
      </c>
      <c r="H9" s="50">
        <f t="shared" si="1"/>
        <v>935348</v>
      </c>
      <c r="I9" s="50">
        <f t="shared" si="1"/>
        <v>979350</v>
      </c>
      <c r="J9" s="50">
        <f>K9-I9-H9-G9</f>
        <v>952178.74599999981</v>
      </c>
      <c r="K9" s="50">
        <f>F9*(1+K10)</f>
        <v>3820845.7459999998</v>
      </c>
      <c r="L9" s="50">
        <f>K9*(1+L10)</f>
        <v>3629803.4586999998</v>
      </c>
      <c r="M9" s="50">
        <f t="shared" ref="M9:R9" si="2">L9*(1+M10)</f>
        <v>3520909.3549389997</v>
      </c>
      <c r="N9" s="50">
        <f t="shared" si="2"/>
        <v>3520909.3549389997</v>
      </c>
      <c r="O9" s="50">
        <f t="shared" si="2"/>
        <v>3591327.5420377799</v>
      </c>
      <c r="P9" s="50">
        <f t="shared" si="2"/>
        <v>3699067.3682989134</v>
      </c>
      <c r="Q9" s="50">
        <f t="shared" si="2"/>
        <v>3838744.1521258806</v>
      </c>
      <c r="R9" s="50">
        <f t="shared" si="2"/>
        <v>4016677.6210652194</v>
      </c>
      <c r="S9" s="85"/>
    </row>
    <row r="10" spans="2:19" x14ac:dyDescent="0.25">
      <c r="B10" s="34" t="s">
        <v>264</v>
      </c>
      <c r="D10" s="35">
        <f>D9/C9-1</f>
        <v>1.592062896899793E-2</v>
      </c>
      <c r="E10" s="35">
        <f>E9/D9-1</f>
        <v>0.13834042915321287</v>
      </c>
      <c r="F10" s="35">
        <f>F9/E9-1</f>
        <v>8.5969176246440515E-2</v>
      </c>
      <c r="G10" s="35"/>
      <c r="H10" s="35">
        <f>H9/G9-1</f>
        <v>-1.951950220604648E-2</v>
      </c>
      <c r="I10" s="35">
        <f>I9/H9-1</f>
        <v>4.7043453345706698E-2</v>
      </c>
      <c r="J10" s="65">
        <f>J9/I9-1</f>
        <v>-2.7744171133915585E-2</v>
      </c>
      <c r="K10" s="51">
        <v>-4.7E-2</v>
      </c>
      <c r="L10" s="51">
        <v>-0.05</v>
      </c>
      <c r="M10" s="51">
        <v>-0.03</v>
      </c>
      <c r="N10" s="51">
        <v>0</v>
      </c>
      <c r="O10" s="51">
        <v>0.02</v>
      </c>
      <c r="P10" s="51">
        <v>0.03</v>
      </c>
      <c r="Q10" s="65">
        <f>'3-Statement (Base)'!Q10</f>
        <v>3.7759999999999995E-2</v>
      </c>
      <c r="R10" s="65">
        <f>'3-Statement (Base)'!R10</f>
        <v>4.6351999999999997E-2</v>
      </c>
      <c r="S10" s="85"/>
    </row>
    <row r="11" spans="2:19" x14ac:dyDescent="0.25">
      <c r="B11" s="34"/>
      <c r="D11" s="35"/>
      <c r="E11" s="35"/>
      <c r="F11" s="35"/>
      <c r="G11" s="35"/>
      <c r="H11" s="35"/>
      <c r="I11" s="35"/>
      <c r="J11" s="65"/>
      <c r="K11" s="51"/>
      <c r="L11" s="51"/>
      <c r="M11" s="51"/>
      <c r="N11" s="51"/>
      <c r="O11" s="51"/>
      <c r="P11" s="51"/>
      <c r="Q11" s="51"/>
      <c r="R11" s="51"/>
      <c r="S11" s="85"/>
    </row>
    <row r="12" spans="2:19" x14ac:dyDescent="0.25">
      <c r="B12" s="51" t="s">
        <v>359</v>
      </c>
      <c r="D12" s="35"/>
      <c r="E12" s="35"/>
      <c r="F12" s="35"/>
      <c r="G12" s="35"/>
      <c r="H12" s="35"/>
      <c r="I12" s="35"/>
      <c r="J12" s="65"/>
      <c r="K12" s="51"/>
      <c r="L12" s="51">
        <v>0.01</v>
      </c>
      <c r="M12" s="51">
        <v>8.0000000000000002E-3</v>
      </c>
      <c r="N12" s="51">
        <v>5.0000000000000001E-3</v>
      </c>
      <c r="O12" s="51">
        <v>3.0000000000000001E-3</v>
      </c>
      <c r="P12" s="51"/>
      <c r="Q12" s="51"/>
      <c r="R12" s="51"/>
      <c r="S12" s="85"/>
    </row>
    <row r="13" spans="2:19" x14ac:dyDescent="0.25">
      <c r="B13" s="32" t="s">
        <v>301</v>
      </c>
      <c r="C13" s="37">
        <f t="shared" ref="C13:I13" si="3">-C51/C48</f>
        <v>0.57921237288947902</v>
      </c>
      <c r="D13" s="37">
        <f t="shared" si="3"/>
        <v>0.58883043539391666</v>
      </c>
      <c r="E13" s="37">
        <f t="shared" si="3"/>
        <v>0.57792709593696245</v>
      </c>
      <c r="F13" s="37">
        <f t="shared" si="3"/>
        <v>0.59020966846432854</v>
      </c>
      <c r="G13" s="37">
        <f t="shared" si="3"/>
        <v>0.58791428232992893</v>
      </c>
      <c r="H13" s="37">
        <f t="shared" si="3"/>
        <v>0.58452789763809831</v>
      </c>
      <c r="I13" s="37">
        <f t="shared" si="3"/>
        <v>0.59110940930208811</v>
      </c>
      <c r="J13" s="35">
        <f>AVERAGE(G13:I13)</f>
        <v>0.58785052975670515</v>
      </c>
      <c r="K13" s="65">
        <f>-K51/K48</f>
        <v>0.58788837068618349</v>
      </c>
      <c r="L13" s="35">
        <f>'3-Statement (Base)'!L12+L12</f>
        <v>0.59481358867417411</v>
      </c>
      <c r="M13" s="35">
        <f>'3-Statement (Base)'!M12+M12</f>
        <v>0.59393383183111303</v>
      </c>
      <c r="N13" s="35">
        <f>'3-Statement (Base)'!N12+N12</f>
        <v>0.59035451111855231</v>
      </c>
      <c r="O13" s="35">
        <f>'3-Statement (Base)'!O12+O12</f>
        <v>0.58983999415487032</v>
      </c>
      <c r="P13" s="65">
        <f>'3-Statement (Base)'!P12+P12</f>
        <v>0.58616605929297871</v>
      </c>
      <c r="Q13" s="65">
        <f>'3-Statement (Base)'!Q12+Q12</f>
        <v>0.58582159701433767</v>
      </c>
      <c r="R13" s="65">
        <f>'3-Statement (Base)'!R12+R12</f>
        <v>0.58602319868237041</v>
      </c>
      <c r="S13" s="162"/>
    </row>
    <row r="14" spans="2:19" x14ac:dyDescent="0.25">
      <c r="B14" s="51" t="s">
        <v>360</v>
      </c>
      <c r="C14" s="37"/>
      <c r="D14" s="37"/>
      <c r="E14" s="37"/>
      <c r="F14" s="37"/>
      <c r="G14" s="37"/>
      <c r="H14" s="37"/>
      <c r="I14" s="37"/>
      <c r="J14" s="35"/>
      <c r="K14" s="65"/>
      <c r="L14" s="51">
        <v>1.4999999999999999E-2</v>
      </c>
      <c r="M14" s="51">
        <v>1.2E-2</v>
      </c>
      <c r="N14" s="51">
        <v>8.0000000000000002E-3</v>
      </c>
      <c r="O14" s="51">
        <v>5.0000000000000001E-3</v>
      </c>
      <c r="P14" s="51"/>
      <c r="Q14" s="51"/>
      <c r="R14" s="35"/>
    </row>
    <row r="15" spans="2:19" x14ac:dyDescent="0.25">
      <c r="B15" s="32" t="s">
        <v>265</v>
      </c>
      <c r="C15" s="37">
        <f>-C52/C49</f>
        <v>0.30558617516168873</v>
      </c>
      <c r="D15" s="37">
        <f t="shared" ref="D15:I15" si="4">-D52/D49</f>
        <v>0.30662945266808583</v>
      </c>
      <c r="E15" s="37">
        <f t="shared" si="4"/>
        <v>0.29357893091701193</v>
      </c>
      <c r="F15" s="37">
        <f t="shared" si="4"/>
        <v>0.28715740125039846</v>
      </c>
      <c r="G15" s="37">
        <f t="shared" si="4"/>
        <v>0.3046566502685098</v>
      </c>
      <c r="H15" s="37">
        <f t="shared" si="4"/>
        <v>0.31136539555331277</v>
      </c>
      <c r="I15" s="37">
        <f t="shared" si="4"/>
        <v>0.29508449481799154</v>
      </c>
      <c r="J15" s="35">
        <f t="shared" ref="J15:J21" si="5">AVERAGE(G15:I15)</f>
        <v>0.30370218021327139</v>
      </c>
      <c r="K15" s="35">
        <f t="shared" ref="K15" si="6">-K52/K49</f>
        <v>0.3036075880130385</v>
      </c>
      <c r="L15" s="35">
        <f>'3-Statement (Base)'!L13+L14</f>
        <v>0.31431190960204469</v>
      </c>
      <c r="M15" s="35">
        <f>'3-Statement (Base)'!M13+M14</f>
        <v>0.31005705649011589</v>
      </c>
      <c r="N15" s="35">
        <f>'3-Statement (Base)'!N13+N14</f>
        <v>0.30434257725452191</v>
      </c>
      <c r="O15" s="35">
        <f>'3-Statement (Base)'!O13+O14</f>
        <v>0.3018953065220239</v>
      </c>
      <c r="P15" s="65">
        <f>'3-Statement (Base)'!P13+P14</f>
        <v>0.29884288757634897</v>
      </c>
      <c r="Q15" s="65">
        <f>'3-Statement (Base)'!Q13+Q14</f>
        <v>0.29788994748901104</v>
      </c>
      <c r="R15" s="65">
        <f>'3-Statement (Base)'!R13+R14</f>
        <v>0.29760555506640435</v>
      </c>
    </row>
    <row r="16" spans="2:19" x14ac:dyDescent="0.25">
      <c r="B16" s="32" t="s">
        <v>306</v>
      </c>
      <c r="C16" s="37">
        <f>-C53/C48</f>
        <v>0</v>
      </c>
      <c r="D16" s="37">
        <f t="shared" ref="D16:I16" si="7">-D53/D48</f>
        <v>1.8148607681738912E-3</v>
      </c>
      <c r="E16" s="37">
        <f t="shared" si="7"/>
        <v>0</v>
      </c>
      <c r="F16" s="37">
        <f t="shared" si="7"/>
        <v>0</v>
      </c>
      <c r="G16" s="37">
        <f t="shared" si="7"/>
        <v>0</v>
      </c>
      <c r="H16" s="37">
        <f t="shared" si="7"/>
        <v>0</v>
      </c>
      <c r="I16" s="37">
        <f t="shared" si="7"/>
        <v>0</v>
      </c>
      <c r="J16" s="35">
        <f t="shared" si="5"/>
        <v>0</v>
      </c>
      <c r="K16" s="35">
        <f t="shared" ref="K16" si="8">-K53/K48</f>
        <v>0</v>
      </c>
      <c r="L16" s="35">
        <f t="shared" ref="L16:L27" si="9">AVERAGE(C16:F16,K16)</f>
        <v>3.6297215363477822E-4</v>
      </c>
      <c r="M16" s="35">
        <f t="shared" ref="M16:M27" si="10">AVERAGE(K16:L16,D16:F16)</f>
        <v>4.3556658436173388E-4</v>
      </c>
      <c r="N16" s="35">
        <f t="shared" ref="N16:N27" si="11">AVERAGE(K16:M16,E16:F16)</f>
        <v>1.5970774759930243E-4</v>
      </c>
      <c r="O16" s="35">
        <f t="shared" ref="O16:O27" si="12">AVERAGE(K16:N16,F16)</f>
        <v>1.9164929711916289E-4</v>
      </c>
      <c r="P16" s="35">
        <f t="shared" ref="P16:P21" si="13">AVERAGE(K16:O16)</f>
        <v>2.2997915654299547E-4</v>
      </c>
      <c r="Q16" s="35">
        <f t="shared" ref="Q16:R18" si="14">AVERAGE(L16:P16)</f>
        <v>2.7597498785159459E-4</v>
      </c>
      <c r="R16" s="35">
        <f t="shared" si="14"/>
        <v>2.5857555469495786E-4</v>
      </c>
    </row>
    <row r="17" spans="2:18" x14ac:dyDescent="0.25">
      <c r="B17" s="32" t="s">
        <v>305</v>
      </c>
      <c r="C17" s="37">
        <f>C54/C51</f>
        <v>9.2094596385115385E-3</v>
      </c>
      <c r="D17" s="37">
        <f t="shared" ref="D17:I17" si="15">D54/D51</f>
        <v>1.6438106538744907E-2</v>
      </c>
      <c r="E17" s="37">
        <f t="shared" si="15"/>
        <v>7.4075115588581979E-3</v>
      </c>
      <c r="F17" s="37">
        <f t="shared" si="15"/>
        <v>3.3541575367966336E-3</v>
      </c>
      <c r="G17" s="37">
        <f t="shared" si="15"/>
        <v>1.6332294437748282E-3</v>
      </c>
      <c r="H17" s="37">
        <f t="shared" si="15"/>
        <v>1.1305252799792222E-2</v>
      </c>
      <c r="I17" s="37">
        <f t="shared" si="15"/>
        <v>8.1015299627053231E-3</v>
      </c>
      <c r="J17" s="35">
        <f t="shared" si="5"/>
        <v>7.01333740209079E-3</v>
      </c>
      <c r="K17" s="35">
        <f t="shared" ref="K17" si="16">K54/K51</f>
        <v>8.2204157182224954E-3</v>
      </c>
      <c r="L17" s="35">
        <f t="shared" si="9"/>
        <v>8.9259301982267548E-3</v>
      </c>
      <c r="M17" s="35">
        <f t="shared" si="10"/>
        <v>8.869224310169798E-3</v>
      </c>
      <c r="N17" s="35">
        <f t="shared" si="11"/>
        <v>7.3554478644547753E-3</v>
      </c>
      <c r="O17" s="35">
        <f t="shared" si="12"/>
        <v>7.3450351255740908E-3</v>
      </c>
      <c r="P17" s="35">
        <f t="shared" si="13"/>
        <v>8.1432106433295837E-3</v>
      </c>
      <c r="Q17" s="35">
        <f t="shared" si="14"/>
        <v>8.1277696283509997E-3</v>
      </c>
      <c r="R17" s="35">
        <f t="shared" si="14"/>
        <v>7.9681375143758511E-3</v>
      </c>
    </row>
    <row r="18" spans="2:18" x14ac:dyDescent="0.25">
      <c r="B18" s="32" t="s">
        <v>307</v>
      </c>
      <c r="C18" s="37">
        <f>-C55/C48</f>
        <v>0</v>
      </c>
      <c r="D18" s="37">
        <f t="shared" ref="D18:I18" si="17">-D55/D48</f>
        <v>0</v>
      </c>
      <c r="E18" s="37">
        <f t="shared" si="17"/>
        <v>-2.7443915628107317E-3</v>
      </c>
      <c r="F18" s="37">
        <f t="shared" si="17"/>
        <v>0</v>
      </c>
      <c r="G18" s="37">
        <f t="shared" si="17"/>
        <v>0</v>
      </c>
      <c r="H18" s="37">
        <f t="shared" si="17"/>
        <v>0</v>
      </c>
      <c r="I18" s="37">
        <f t="shared" si="17"/>
        <v>0</v>
      </c>
      <c r="J18" s="35">
        <f t="shared" si="5"/>
        <v>0</v>
      </c>
      <c r="K18" s="35">
        <f t="shared" ref="K18" si="18">-K55/K48</f>
        <v>0</v>
      </c>
      <c r="L18" s="35">
        <f t="shared" si="9"/>
        <v>-5.4887831256214634E-4</v>
      </c>
      <c r="M18" s="35">
        <f t="shared" si="10"/>
        <v>-6.5865397507457559E-4</v>
      </c>
      <c r="N18" s="35">
        <f t="shared" si="11"/>
        <v>-7.9038477008949064E-4</v>
      </c>
      <c r="O18" s="35">
        <f t="shared" si="12"/>
        <v>-3.9958341154524256E-4</v>
      </c>
      <c r="P18" s="35">
        <f t="shared" si="13"/>
        <v>-4.7950009385429109E-4</v>
      </c>
      <c r="Q18" s="35">
        <f t="shared" si="14"/>
        <v>-5.7540011262514922E-4</v>
      </c>
      <c r="R18" s="35">
        <f t="shared" si="14"/>
        <v>-5.8070447263774993E-4</v>
      </c>
    </row>
    <row r="19" spans="2:18" x14ac:dyDescent="0.25">
      <c r="B19" s="32" t="s">
        <v>354</v>
      </c>
      <c r="C19" s="37">
        <f t="shared" ref="C19:I19" si="19">C59/C48</f>
        <v>-5.1184078180703599E-3</v>
      </c>
      <c r="D19" s="37">
        <f t="shared" si="19"/>
        <v>-4.4535930913190084E-3</v>
      </c>
      <c r="E19" s="37">
        <f t="shared" si="19"/>
        <v>-4.7263016560880828E-3</v>
      </c>
      <c r="F19" s="37">
        <f t="shared" si="19"/>
        <v>-5.364800979327471E-3</v>
      </c>
      <c r="G19" s="37">
        <f t="shared" si="19"/>
        <v>-5.4456696181951402E-3</v>
      </c>
      <c r="H19" s="37">
        <f t="shared" si="19"/>
        <v>-7.3854864713454246E-3</v>
      </c>
      <c r="I19" s="37">
        <f t="shared" si="19"/>
        <v>-6.8923265431153312E-3</v>
      </c>
      <c r="J19" s="35">
        <f t="shared" si="5"/>
        <v>-6.574494210885299E-3</v>
      </c>
      <c r="K19" s="35">
        <f>K59/K48</f>
        <v>-6.5726531042494029E-3</v>
      </c>
      <c r="L19" s="35">
        <f>AVERAGE(C19:F19,K19)</f>
        <v>-5.2471513298108655E-3</v>
      </c>
      <c r="M19" s="35">
        <f>AVERAGE(K19:L19,D19:F19)</f>
        <v>-5.2729000321589652E-3</v>
      </c>
      <c r="N19" s="35">
        <f>AVERAGE(K19:M19,E19:F19)</f>
        <v>-5.4367614203269573E-3</v>
      </c>
      <c r="O19" s="35">
        <f>AVERAGE(K19:N19,F19)</f>
        <v>-5.5788533731747315E-3</v>
      </c>
      <c r="P19" s="35">
        <f t="shared" si="13"/>
        <v>-5.6216638519441843E-3</v>
      </c>
      <c r="Q19" s="35">
        <f>AVERAGE(L19:P19)</f>
        <v>-5.4314660014831411E-3</v>
      </c>
      <c r="R19" s="35">
        <f>AVERAGE(M19:Q19)</f>
        <v>-5.4683289358175959E-3</v>
      </c>
    </row>
    <row r="20" spans="2:18" x14ac:dyDescent="0.25">
      <c r="B20" s="32" t="s">
        <v>266</v>
      </c>
      <c r="C20" s="37">
        <f>-C63/C61</f>
        <v>0.24679730740463723</v>
      </c>
      <c r="D20" s="37">
        <f t="shared" ref="D20:I20" si="20">-D63/D61</f>
        <v>0.24426882678697132</v>
      </c>
      <c r="E20" s="37">
        <f t="shared" si="20"/>
        <v>0.245271893813784</v>
      </c>
      <c r="F20" s="37">
        <f t="shared" si="20"/>
        <v>0.24782968984294845</v>
      </c>
      <c r="G20" s="37">
        <f t="shared" si="20"/>
        <v>0.2429969994962658</v>
      </c>
      <c r="H20" s="37">
        <f t="shared" si="20"/>
        <v>0.23000437746232255</v>
      </c>
      <c r="I20" s="37">
        <f t="shared" si="20"/>
        <v>0.25199295124611898</v>
      </c>
      <c r="J20" s="35">
        <f t="shared" si="5"/>
        <v>0.24166477606823578</v>
      </c>
      <c r="K20" s="35">
        <f t="shared" ref="K20" si="21">-K63/K61</f>
        <v>0.24215878941334376</v>
      </c>
      <c r="L20" s="35">
        <f t="shared" ref="L20:L21" si="22">AVERAGE(C20:F20,K20)</f>
        <v>0.24526530145233694</v>
      </c>
      <c r="M20" s="35">
        <f t="shared" ref="M20:M21" si="23">AVERAGE(K20:L20,D20:F20)</f>
        <v>0.24495890026187692</v>
      </c>
      <c r="N20" s="35">
        <f t="shared" ref="N20:N21" si="24">AVERAGE(K20:M20,E20:F20)</f>
        <v>0.24509691495685804</v>
      </c>
      <c r="O20" s="35">
        <f t="shared" ref="O20:O21" si="25">AVERAGE(K20:N20,F20)</f>
        <v>0.24506191918547282</v>
      </c>
      <c r="P20" s="35">
        <f t="shared" si="13"/>
        <v>0.24450836505397772</v>
      </c>
      <c r="Q20" s="35">
        <f t="shared" ref="Q20:R21" si="26">AVERAGE(L20:P20)</f>
        <v>0.24497828018210449</v>
      </c>
      <c r="R20" s="35">
        <f t="shared" si="26"/>
        <v>0.24492087592805803</v>
      </c>
    </row>
    <row r="21" spans="2:18" x14ac:dyDescent="0.25">
      <c r="B21" s="32" t="s">
        <v>367</v>
      </c>
      <c r="C21" s="37">
        <f>C66/C65</f>
        <v>2.5460958539549887E-3</v>
      </c>
      <c r="D21" s="37">
        <f t="shared" ref="D21:K21" si="27">D66/D65</f>
        <v>4.7261364522774929E-3</v>
      </c>
      <c r="E21" s="37">
        <f t="shared" si="27"/>
        <v>2.0441609248065978E-3</v>
      </c>
      <c r="F21" s="37">
        <f t="shared" si="27"/>
        <v>-3.6723237940350969E-4</v>
      </c>
      <c r="G21" s="37">
        <f t="shared" si="27"/>
        <v>-3.2114338618215482E-3</v>
      </c>
      <c r="H21" s="37">
        <f t="shared" si="27"/>
        <v>-4.5805246487452284E-3</v>
      </c>
      <c r="I21" s="37">
        <f t="shared" si="27"/>
        <v>-5.5109939421135292E-3</v>
      </c>
      <c r="J21" s="35">
        <f t="shared" si="5"/>
        <v>-4.434317484226769E-3</v>
      </c>
      <c r="K21" s="193">
        <f t="shared" si="27"/>
        <v>-4.438984445348574E-3</v>
      </c>
      <c r="L21" s="193">
        <f t="shared" si="22"/>
        <v>9.0203528125739935E-4</v>
      </c>
      <c r="M21" s="193">
        <f t="shared" si="23"/>
        <v>5.7322316671788124E-4</v>
      </c>
      <c r="N21" s="193">
        <f t="shared" si="24"/>
        <v>-2.5735949039404116E-4</v>
      </c>
      <c r="O21" s="193">
        <f t="shared" si="25"/>
        <v>-7.1766357343416897E-4</v>
      </c>
      <c r="P21" s="193">
        <f t="shared" si="13"/>
        <v>-7.8774981224030076E-4</v>
      </c>
      <c r="Q21" s="193">
        <f t="shared" si="26"/>
        <v>-5.7502885618646024E-5</v>
      </c>
      <c r="R21" s="193">
        <f t="shared" si="26"/>
        <v>-2.4941051899385515E-4</v>
      </c>
    </row>
    <row r="22" spans="2:18" x14ac:dyDescent="0.25">
      <c r="C22" s="52"/>
      <c r="D22" s="52"/>
      <c r="E22" s="52"/>
      <c r="F22" s="52"/>
      <c r="G22" s="52"/>
      <c r="H22" s="52"/>
      <c r="I22" s="52"/>
      <c r="M22" s="35"/>
      <c r="N22" s="35"/>
      <c r="O22" s="35"/>
      <c r="P22" s="35"/>
      <c r="Q22" s="35"/>
      <c r="R22" s="35"/>
    </row>
    <row r="23" spans="2:18" x14ac:dyDescent="0.25">
      <c r="B23" s="51" t="s">
        <v>369</v>
      </c>
      <c r="C23" s="52"/>
      <c r="D23" s="52"/>
      <c r="E23" s="52"/>
      <c r="F23" s="52"/>
      <c r="G23" s="52"/>
      <c r="H23" s="52"/>
      <c r="I23" s="52"/>
      <c r="L23" s="51">
        <v>2.4E-2</v>
      </c>
      <c r="M23" s="51">
        <v>1.8000000000000002E-2</v>
      </c>
      <c r="N23" s="51">
        <v>6.0000000000000001E-3</v>
      </c>
      <c r="O23" s="51">
        <v>3.0000000000000001E-3</v>
      </c>
      <c r="P23" s="31">
        <v>0</v>
      </c>
      <c r="Q23" s="31">
        <v>0</v>
      </c>
      <c r="R23" s="31">
        <v>0</v>
      </c>
    </row>
    <row r="24" spans="2:18" x14ac:dyDescent="0.25">
      <c r="B24" s="32" t="s">
        <v>353</v>
      </c>
      <c r="C24" s="37">
        <f>C74/C49</f>
        <v>0.25876276743602539</v>
      </c>
      <c r="D24" s="37">
        <f>D74/D49</f>
        <v>0.28188432251364692</v>
      </c>
      <c r="E24" s="37">
        <f>E74/E49</f>
        <v>0.29790191644232378</v>
      </c>
      <c r="F24" s="37">
        <f>F74/F49</f>
        <v>0.21149921606911162</v>
      </c>
      <c r="G24" s="37">
        <f>G74/G49/4</f>
        <v>0.22572824693464882</v>
      </c>
      <c r="H24" s="37">
        <f>H74/H49/4</f>
        <v>0.23255649234295683</v>
      </c>
      <c r="I24" s="37">
        <f>I74/I49/4</f>
        <v>0.20670419155562364</v>
      </c>
      <c r="J24" s="35">
        <f t="shared" ref="J24" si="28">AVERAGE(G24:I24)</f>
        <v>0.22166297694440976</v>
      </c>
      <c r="K24" s="35">
        <f>K74/K49</f>
        <v>0.22095922154671035</v>
      </c>
      <c r="L24" s="35">
        <f>'3-Statement (Base)'!L21+L23</f>
        <v>0.24022921880791098</v>
      </c>
      <c r="M24" s="35">
        <f>'3-Statement (Base)'!M21+M23</f>
        <v>0.23422921880791098</v>
      </c>
      <c r="N24" s="35">
        <f>'3-Statement (Base)'!N21+N23</f>
        <v>0.22380588638751078</v>
      </c>
      <c r="O24" s="35">
        <f>'3-Statement (Base)'!O21+O23</f>
        <v>0.2197547746677776</v>
      </c>
      <c r="P24" s="35">
        <f>'3-Statement (Base)'!P21+P23</f>
        <v>0.21692995995439979</v>
      </c>
      <c r="Q24" s="35">
        <f>'3-Statement (Base)'!Q21+Q23</f>
        <v>0.21716354033656271</v>
      </c>
      <c r="R24" s="35">
        <f>'3-Statement (Base)'!R21+R23</f>
        <v>0.2169494249862467</v>
      </c>
    </row>
    <row r="25" spans="2:18" x14ac:dyDescent="0.25">
      <c r="B25" s="51" t="s">
        <v>361</v>
      </c>
      <c r="C25" s="37"/>
      <c r="D25" s="37"/>
      <c r="E25" s="37"/>
      <c r="F25" s="37"/>
      <c r="G25" s="37"/>
      <c r="H25" s="37"/>
      <c r="I25" s="37"/>
      <c r="J25" s="35"/>
      <c r="K25" s="35"/>
      <c r="L25" s="51">
        <v>-3.0000000000000001E-3</v>
      </c>
      <c r="M25" s="51">
        <v>-2E-3</v>
      </c>
      <c r="N25" s="51">
        <v>-1E-3</v>
      </c>
      <c r="O25" s="51">
        <v>-1E-3</v>
      </c>
      <c r="P25" s="35"/>
      <c r="Q25" s="35"/>
      <c r="R25" s="35"/>
    </row>
    <row r="26" spans="2:18" x14ac:dyDescent="0.25">
      <c r="B26" s="32" t="s">
        <v>267</v>
      </c>
      <c r="C26" s="37">
        <f t="shared" ref="C26:I26" si="29">-C106/C49</f>
        <v>1.4719651271661218E-2</v>
      </c>
      <c r="D26" s="37">
        <f t="shared" si="29"/>
        <v>1.6571781659237846E-2</v>
      </c>
      <c r="E26" s="37">
        <f t="shared" si="29"/>
        <v>1.6623721218356004E-2</v>
      </c>
      <c r="F26" s="37">
        <f t="shared" si="29"/>
        <v>2.3069716722345798E-2</v>
      </c>
      <c r="G26" s="37">
        <f t="shared" si="29"/>
        <v>1.9322430812741296E-2</v>
      </c>
      <c r="H26" s="37">
        <f t="shared" si="29"/>
        <v>2.7102212224754851E-2</v>
      </c>
      <c r="I26" s="37">
        <f t="shared" si="29"/>
        <v>3.0194516771327923E-2</v>
      </c>
      <c r="J26" s="35">
        <f>AVERAGE(G26:I26)</f>
        <v>2.5539719936274689E-2</v>
      </c>
      <c r="K26" s="35">
        <f>-K106/K49</f>
        <v>2.5563025831222139E-2</v>
      </c>
      <c r="L26" s="35">
        <f>'3-Statement (Base)'!L22+L25</f>
        <v>1.6309579340564602E-2</v>
      </c>
      <c r="M26" s="35">
        <f>'3-Statement (Base)'!M22+M25</f>
        <v>1.8227564954345278E-2</v>
      </c>
      <c r="N26" s="35">
        <f>'3-Statement (Base)'!N22+N25</f>
        <v>1.9958721613366766E-2</v>
      </c>
      <c r="O26" s="35">
        <f>'3-Statement (Base)'!O22+O25</f>
        <v>2.0825721692368918E-2</v>
      </c>
      <c r="P26" s="35">
        <f>'3-Statement (Base)'!P22+P25</f>
        <v>2.1576922686373543E-2</v>
      </c>
      <c r="Q26" s="35">
        <f>'3-Statement (Base)'!Q22+Q25</f>
        <v>2.0779702057403822E-2</v>
      </c>
      <c r="R26" s="35">
        <f>'3-Statement (Base)'!R22+R25</f>
        <v>2.1073726600771663E-2</v>
      </c>
    </row>
    <row r="27" spans="2:18" x14ac:dyDescent="0.25">
      <c r="B27" s="32" t="s">
        <v>268</v>
      </c>
      <c r="C27" s="37">
        <f t="shared" ref="C27:I27" si="30">C99/C49</f>
        <v>2.1638585903579095E-2</v>
      </c>
      <c r="D27" s="37">
        <f t="shared" si="30"/>
        <v>2.1227642617346196E-2</v>
      </c>
      <c r="E27" s="37">
        <f t="shared" si="30"/>
        <v>1.9062307602089226E-2</v>
      </c>
      <c r="F27" s="37">
        <f t="shared" si="30"/>
        <v>1.8738766691891465E-2</v>
      </c>
      <c r="G27" s="37">
        <f t="shared" si="30"/>
        <v>2.0736522884915547E-2</v>
      </c>
      <c r="H27" s="37">
        <f t="shared" si="30"/>
        <v>2.2764789147996255E-2</v>
      </c>
      <c r="I27" s="37">
        <f t="shared" si="30"/>
        <v>2.1085413794863939E-2</v>
      </c>
      <c r="J27" s="35">
        <f>AVERAGE(G27:I27)</f>
        <v>2.1528908609258577E-2</v>
      </c>
      <c r="K27" s="35">
        <f>K99/K49</f>
        <v>2.1519939476329866E-2</v>
      </c>
      <c r="L27" s="35">
        <f t="shared" si="9"/>
        <v>2.043744845824717E-2</v>
      </c>
      <c r="M27" s="35">
        <f t="shared" si="10"/>
        <v>2.0197220969180786E-2</v>
      </c>
      <c r="N27" s="35">
        <f t="shared" si="11"/>
        <v>1.9991136639547706E-2</v>
      </c>
      <c r="O27" s="35">
        <f t="shared" si="12"/>
        <v>2.0176902447039399E-2</v>
      </c>
      <c r="P27" s="35">
        <f t="shared" ref="P27:R27" si="31">AVERAGE(K27:O27)</f>
        <v>2.0464529598068985E-2</v>
      </c>
      <c r="Q27" s="35">
        <f t="shared" si="31"/>
        <v>2.025344762241681E-2</v>
      </c>
      <c r="R27" s="35">
        <f t="shared" si="31"/>
        <v>2.0216647455250737E-2</v>
      </c>
    </row>
    <row r="28" spans="2:18" x14ac:dyDescent="0.25">
      <c r="B28" s="51" t="s">
        <v>372</v>
      </c>
      <c r="C28" s="37"/>
      <c r="D28" s="37"/>
      <c r="E28" s="37"/>
      <c r="F28" s="37"/>
      <c r="G28" s="37"/>
      <c r="H28" s="37"/>
      <c r="I28" s="37"/>
      <c r="J28" s="35"/>
      <c r="K28" s="35"/>
      <c r="L28" s="51">
        <v>-4.0000000000000001E-3</v>
      </c>
      <c r="M28" s="51">
        <v>-4.0000000000000001E-3</v>
      </c>
      <c r="N28" s="51">
        <v>-3.0000000000000001E-3</v>
      </c>
      <c r="O28" s="51">
        <v>-2E-3</v>
      </c>
      <c r="P28" s="35"/>
      <c r="Q28" s="35"/>
      <c r="R28" s="35"/>
    </row>
    <row r="29" spans="2:18" x14ac:dyDescent="0.25">
      <c r="B29" s="32" t="s">
        <v>351</v>
      </c>
      <c r="C29" s="37">
        <f t="shared" ref="C29:I29" si="32">C100/C49</f>
        <v>1.142119139869421E-2</v>
      </c>
      <c r="D29" s="37">
        <f t="shared" si="32"/>
        <v>3.9633401824850827E-3</v>
      </c>
      <c r="E29" s="37">
        <f t="shared" si="32"/>
        <v>8.0557589290913903E-3</v>
      </c>
      <c r="F29" s="37">
        <f t="shared" si="32"/>
        <v>9.0470064215986811E-3</v>
      </c>
      <c r="G29" s="37">
        <f t="shared" si="32"/>
        <v>5.8796459843034731E-3</v>
      </c>
      <c r="H29" s="37">
        <f t="shared" si="32"/>
        <v>1.0830193681923732E-3</v>
      </c>
      <c r="I29" s="37">
        <f t="shared" si="32"/>
        <v>-5.4158370347679582E-3</v>
      </c>
      <c r="J29" s="35">
        <f>AVERAGE(G29:I29)</f>
        <v>5.1560943924262945E-4</v>
      </c>
      <c r="K29" s="35">
        <f>K100/K49</f>
        <v>4.7344291540101608E-4</v>
      </c>
      <c r="L29" s="35">
        <f>'3-Statement (Base)'!L25+L28</f>
        <v>9.9204276869603678E-4</v>
      </c>
      <c r="M29" s="35">
        <f>'3-Statement (Base)'!M25+M28</f>
        <v>1.8472361416260793E-3</v>
      </c>
      <c r="N29" s="35">
        <f>'3-Statement (Base)'!N25+N28</f>
        <v>2.6600086536813115E-3</v>
      </c>
      <c r="O29" s="35">
        <f>'3-Statement (Base)'!O25+O28</f>
        <v>2.9978088731603403E-3</v>
      </c>
      <c r="P29" s="35">
        <f>'3-Statement (Base)'!P25+P28</f>
        <v>4.9906068432009638E-3</v>
      </c>
      <c r="Q29" s="35">
        <f>'3-Statement (Base)'!Q25+Q28</f>
        <v>5.2975406560729467E-3</v>
      </c>
      <c r="R29" s="35">
        <f>'3-Statement (Base)'!R25+R28</f>
        <v>5.3586402335483278E-3</v>
      </c>
    </row>
    <row r="30" spans="2:18" x14ac:dyDescent="0.25">
      <c r="B30" s="32" t="s">
        <v>365</v>
      </c>
      <c r="C30" s="192">
        <f t="shared" ref="C30:I30" si="33">-C107/C48</f>
        <v>7.1607590404582891E-4</v>
      </c>
      <c r="D30" s="192">
        <f t="shared" si="33"/>
        <v>6.7833735813499158E-3</v>
      </c>
      <c r="E30" s="192">
        <f t="shared" si="33"/>
        <v>8.971007556286166E-3</v>
      </c>
      <c r="F30" s="192">
        <f t="shared" si="33"/>
        <v>5.0338190229572274E-3</v>
      </c>
      <c r="G30" s="192">
        <f t="shared" si="33"/>
        <v>0</v>
      </c>
      <c r="H30" s="192">
        <f t="shared" si="33"/>
        <v>1.0550084032894709E-2</v>
      </c>
      <c r="I30" s="192">
        <f t="shared" si="33"/>
        <v>-9.1897687241537747E-6</v>
      </c>
      <c r="J30" s="35">
        <f>AVERAGE(G30:I30)</f>
        <v>3.513631421390185E-3</v>
      </c>
      <c r="K30" s="35">
        <f>K60/K49</f>
        <v>-4.9179226404708152E-3</v>
      </c>
      <c r="L30" s="35">
        <f t="shared" ref="L30" si="34">AVERAGE(C30:F30,K30)</f>
        <v>3.3172706848336648E-3</v>
      </c>
      <c r="M30" s="35">
        <f t="shared" ref="M30" si="35">AVERAGE(K30:L30,D30:F30)</f>
        <v>3.8375096409912317E-3</v>
      </c>
      <c r="N30" s="35">
        <f t="shared" ref="N30" si="36">AVERAGE(K30:M30,E30:F30)</f>
        <v>3.2483368529194951E-3</v>
      </c>
      <c r="O30" s="35">
        <f t="shared" ref="O30" si="37">AVERAGE(K30:N30,F30)</f>
        <v>2.1038027122461606E-3</v>
      </c>
      <c r="P30" s="35">
        <f t="shared" ref="P30" si="38">AVERAGE(K30:O30)</f>
        <v>1.5177994501039474E-3</v>
      </c>
      <c r="Q30" s="35">
        <f t="shared" ref="Q30" si="39">AVERAGE(L30:P30)</f>
        <v>2.8049438682188994E-3</v>
      </c>
      <c r="R30" s="35">
        <f t="shared" ref="R30" si="40">AVERAGE(M30:Q30)</f>
        <v>2.702478504895947E-3</v>
      </c>
    </row>
    <row r="31" spans="2:18" x14ac:dyDescent="0.25">
      <c r="C31" s="52"/>
      <c r="D31" s="52"/>
      <c r="E31" s="52"/>
      <c r="F31" s="52"/>
      <c r="G31" s="52"/>
      <c r="H31" s="52"/>
      <c r="I31" s="52"/>
    </row>
    <row r="32" spans="2:18" x14ac:dyDescent="0.25">
      <c r="B32" s="32" t="s">
        <v>269</v>
      </c>
      <c r="C32" s="37">
        <f t="shared" ref="C32:I32" si="41">-C113/C67</f>
        <v>0.65981640180824808</v>
      </c>
      <c r="D32" s="37">
        <f t="shared" si="41"/>
        <v>0.7640375033680874</v>
      </c>
      <c r="E32" s="37">
        <f t="shared" si="41"/>
        <v>0.49058262842270017</v>
      </c>
      <c r="F32" s="37">
        <f t="shared" si="41"/>
        <v>0.5152326222152247</v>
      </c>
      <c r="G32" s="37">
        <f t="shared" si="41"/>
        <v>0.68487504716570402</v>
      </c>
      <c r="H32" s="37">
        <f t="shared" si="41"/>
        <v>0.7632132891666531</v>
      </c>
      <c r="I32" s="37">
        <f t="shared" si="41"/>
        <v>0.65893484115681267</v>
      </c>
      <c r="J32" s="35">
        <f>AVERAGE(G32:I32)</f>
        <v>0.70234105916305667</v>
      </c>
      <c r="K32" s="35">
        <f>-K113/K67</f>
        <v>0.70026602479539579</v>
      </c>
      <c r="L32" s="35">
        <f>'3-Statement (Base)'!L27</f>
        <v>0.62720016317208371</v>
      </c>
      <c r="M32" s="35">
        <f>'3-Statement (Base)'!M27</f>
        <v>0.6200032178241256</v>
      </c>
      <c r="N32" s="35">
        <f>'3-Statement (Base)'!N27</f>
        <v>0.58974512377329058</v>
      </c>
      <c r="O32" s="35">
        <f>'3-Statement (Base)'!O27</f>
        <v>0.60917566924981481</v>
      </c>
      <c r="P32" s="35">
        <f>'3-Statement (Base)'!P27</f>
        <v>0.62803993491402632</v>
      </c>
      <c r="Q32" s="35">
        <f>'3-Statement (Base)'!Q27</f>
        <v>0.6148328217866682</v>
      </c>
      <c r="R32" s="35">
        <f>'3-Statement (Base)'!R27</f>
        <v>0.61235935350958515</v>
      </c>
    </row>
    <row r="33" spans="2:19" x14ac:dyDescent="0.25">
      <c r="B33" s="32" t="s">
        <v>309</v>
      </c>
      <c r="C33" s="66">
        <f t="shared" ref="C33:I33" si="42">-C114/C67</f>
        <v>1.3645061985190115E-2</v>
      </c>
      <c r="D33" s="66">
        <f t="shared" si="42"/>
        <v>0.32544173322920805</v>
      </c>
      <c r="E33" s="66">
        <f t="shared" si="42"/>
        <v>8.0189812942217845E-2</v>
      </c>
      <c r="F33" s="66">
        <f t="shared" si="42"/>
        <v>0.27925453596554911</v>
      </c>
      <c r="G33" s="66">
        <f t="shared" si="42"/>
        <v>1.9163062723130062</v>
      </c>
      <c r="H33" s="66">
        <f t="shared" si="42"/>
        <v>0.2713966352822153</v>
      </c>
      <c r="I33" s="66">
        <f t="shared" si="42"/>
        <v>0.2607058757173677</v>
      </c>
      <c r="J33" s="51">
        <v>0</v>
      </c>
      <c r="K33" s="35">
        <f>-K114/K67</f>
        <v>0.62907434334680967</v>
      </c>
      <c r="L33" s="51">
        <v>0.25</v>
      </c>
      <c r="M33" s="51">
        <v>0.6</v>
      </c>
      <c r="N33" s="51">
        <v>0.5</v>
      </c>
      <c r="O33" s="51">
        <v>0.4</v>
      </c>
      <c r="P33" s="51">
        <v>0.35</v>
      </c>
      <c r="Q33" s="51">
        <v>0.35</v>
      </c>
      <c r="R33" s="51">
        <v>0.3</v>
      </c>
      <c r="S33" s="31" t="s">
        <v>328</v>
      </c>
    </row>
    <row r="34" spans="2:19" x14ac:dyDescent="0.25">
      <c r="B34" s="32" t="s">
        <v>270</v>
      </c>
      <c r="C34" s="37">
        <f t="shared" ref="C34:I34" si="43">C116/(C112+C111)</f>
        <v>0.10910804489371362</v>
      </c>
      <c r="D34" s="37">
        <f t="shared" si="43"/>
        <v>0.20243172780027152</v>
      </c>
      <c r="E34" s="37">
        <f t="shared" si="43"/>
        <v>5.6242536252487918</v>
      </c>
      <c r="F34" s="37">
        <f t="shared" si="43"/>
        <v>-0.10019784156893917</v>
      </c>
      <c r="G34" s="37">
        <f t="shared" si="43"/>
        <v>8.7705615428247299E-2</v>
      </c>
      <c r="H34" s="37">
        <f t="shared" si="43"/>
        <v>0.14705468859834106</v>
      </c>
      <c r="I34" s="37">
        <f t="shared" si="43"/>
        <v>-4.8888888888888886E-4</v>
      </c>
      <c r="J34" s="35">
        <f>AVERAGE(G34:I34)</f>
        <v>7.8090471712566487E-2</v>
      </c>
      <c r="K34" s="35">
        <f t="shared" ref="K34" si="44">K116/(K112+K111)</f>
        <v>0.12793825671707995</v>
      </c>
      <c r="L34" s="35">
        <f>K34</f>
        <v>0.12793825671707995</v>
      </c>
      <c r="M34" s="35">
        <f t="shared" ref="M34:R34" si="45">L34</f>
        <v>0.12793825671707995</v>
      </c>
      <c r="N34" s="35">
        <f t="shared" si="45"/>
        <v>0.12793825671707995</v>
      </c>
      <c r="O34" s="35">
        <f t="shared" si="45"/>
        <v>0.12793825671707995</v>
      </c>
      <c r="P34" s="35">
        <f t="shared" si="45"/>
        <v>0.12793825671707995</v>
      </c>
      <c r="Q34" s="35">
        <f t="shared" si="45"/>
        <v>0.12793825671707995</v>
      </c>
      <c r="R34" s="35">
        <f t="shared" si="45"/>
        <v>0.12793825671707995</v>
      </c>
    </row>
    <row r="35" spans="2:19" x14ac:dyDescent="0.25">
      <c r="B35" s="32"/>
      <c r="C35" s="37"/>
      <c r="D35" s="37"/>
      <c r="E35" s="37"/>
      <c r="F35" s="37"/>
      <c r="G35" s="37"/>
      <c r="H35" s="37"/>
      <c r="I35" s="37"/>
      <c r="J35" s="35"/>
      <c r="K35" s="35"/>
      <c r="L35" s="35"/>
      <c r="M35" s="35"/>
      <c r="N35" s="35"/>
      <c r="O35" s="35"/>
      <c r="P35" s="35"/>
      <c r="Q35" s="35"/>
      <c r="R35" s="35"/>
    </row>
    <row r="36" spans="2:19" x14ac:dyDescent="0.25">
      <c r="B36" s="31" t="s">
        <v>312</v>
      </c>
      <c r="D36" s="46"/>
      <c r="E36" s="46"/>
      <c r="F36" s="46"/>
      <c r="G36" s="46"/>
      <c r="H36" s="46"/>
      <c r="I36" s="58"/>
      <c r="J36" s="46">
        <f t="shared" ref="J36:R36" si="46">I73+J103+J108+SUM(J112:J116)+J119</f>
        <v>3769.1284310839496</v>
      </c>
      <c r="K36" s="46">
        <f t="shared" si="46"/>
        <v>-62282.871568916038</v>
      </c>
      <c r="L36" s="46">
        <f t="shared" si="46"/>
        <v>25576.399254357591</v>
      </c>
      <c r="M36" s="46">
        <f t="shared" si="46"/>
        <v>25140.995773854771</v>
      </c>
      <c r="N36" s="46">
        <f t="shared" si="46"/>
        <v>36802.880120054178</v>
      </c>
      <c r="O36" s="46">
        <f t="shared" si="46"/>
        <v>20532.593575803487</v>
      </c>
      <c r="P36" s="46">
        <f t="shared" si="46"/>
        <v>24577.682341051361</v>
      </c>
      <c r="Q36" s="46">
        <f t="shared" si="46"/>
        <v>9306.7277344214599</v>
      </c>
      <c r="R36" s="46">
        <f t="shared" si="46"/>
        <v>18662.694743617398</v>
      </c>
    </row>
    <row r="37" spans="2:19" x14ac:dyDescent="0.25">
      <c r="B37" s="31" t="s">
        <v>316</v>
      </c>
      <c r="D37" s="46"/>
      <c r="E37" s="46"/>
      <c r="F37" s="46"/>
      <c r="G37" s="46"/>
      <c r="H37" s="46"/>
      <c r="I37" s="58"/>
      <c r="J37" s="46">
        <f t="shared" ref="J37:R37" si="47">-MIN(J36,I81)</f>
        <v>-3769.1284310839496</v>
      </c>
      <c r="K37" s="46">
        <f t="shared" si="47"/>
        <v>62282.871568916038</v>
      </c>
      <c r="L37" s="46">
        <f t="shared" si="47"/>
        <v>-25576.399254357591</v>
      </c>
      <c r="M37" s="46">
        <f t="shared" si="47"/>
        <v>-25140.995773854771</v>
      </c>
      <c r="N37" s="46">
        <f t="shared" si="47"/>
        <v>-36802.880120054178</v>
      </c>
      <c r="O37" s="46">
        <f t="shared" si="47"/>
        <v>-20532.593575803487</v>
      </c>
      <c r="P37" s="46">
        <f t="shared" si="47"/>
        <v>-24577.682341051361</v>
      </c>
      <c r="Q37" s="46">
        <f t="shared" si="47"/>
        <v>-9306.7277344214599</v>
      </c>
      <c r="R37" s="46">
        <f t="shared" si="47"/>
        <v>-18662.694743617398</v>
      </c>
    </row>
    <row r="38" spans="2:19" x14ac:dyDescent="0.25">
      <c r="B38" s="31" t="s">
        <v>315</v>
      </c>
      <c r="D38" s="46"/>
      <c r="E38" s="46"/>
      <c r="F38" s="46"/>
      <c r="G38" s="46"/>
      <c r="H38" s="46"/>
      <c r="I38" s="58"/>
      <c r="J38" s="43">
        <v>25000</v>
      </c>
      <c r="K38" s="43">
        <v>25000</v>
      </c>
      <c r="L38" s="43">
        <v>25000</v>
      </c>
      <c r="M38" s="43">
        <v>25000</v>
      </c>
      <c r="N38" s="43">
        <v>25000</v>
      </c>
      <c r="O38" s="43">
        <v>25000</v>
      </c>
      <c r="P38" s="43">
        <v>25000</v>
      </c>
      <c r="Q38" s="43">
        <v>25000</v>
      </c>
      <c r="R38" s="43">
        <v>25000</v>
      </c>
      <c r="S38" s="31" t="s">
        <v>350</v>
      </c>
    </row>
    <row r="39" spans="2:19" x14ac:dyDescent="0.25">
      <c r="B39" s="31" t="s">
        <v>313</v>
      </c>
      <c r="D39" s="46"/>
      <c r="E39" s="46"/>
      <c r="F39" s="46"/>
      <c r="G39" s="46"/>
      <c r="H39" s="46"/>
      <c r="I39" s="58"/>
      <c r="J39" s="46">
        <f t="shared" ref="J39:R39" si="48">SUM(J37:J38)</f>
        <v>21230.871568916049</v>
      </c>
      <c r="K39" s="46">
        <f t="shared" si="48"/>
        <v>87282.871568916045</v>
      </c>
      <c r="L39" s="46">
        <f t="shared" si="48"/>
        <v>-576.39925435759142</v>
      </c>
      <c r="M39" s="46">
        <f t="shared" si="48"/>
        <v>-140.99577385477096</v>
      </c>
      <c r="N39" s="46">
        <f t="shared" si="48"/>
        <v>-11802.880120054178</v>
      </c>
      <c r="O39" s="46">
        <f t="shared" si="48"/>
        <v>4467.4064241965134</v>
      </c>
      <c r="P39" s="46">
        <f t="shared" si="48"/>
        <v>422.31765894863929</v>
      </c>
      <c r="Q39" s="46">
        <f t="shared" si="48"/>
        <v>15693.27226557854</v>
      </c>
      <c r="R39" s="46">
        <f t="shared" si="48"/>
        <v>6337.3052563826022</v>
      </c>
      <c r="S39" s="46"/>
    </row>
    <row r="40" spans="2:19" x14ac:dyDescent="0.25">
      <c r="I40" s="58"/>
      <c r="J40" s="46"/>
      <c r="K40" s="46"/>
      <c r="L40" s="46"/>
      <c r="M40" s="46"/>
      <c r="N40" s="46"/>
      <c r="O40" s="46"/>
      <c r="P40" s="46"/>
      <c r="Q40" s="46"/>
      <c r="R40" s="46"/>
    </row>
    <row r="41" spans="2:19" x14ac:dyDescent="0.25">
      <c r="B41" s="31" t="s">
        <v>318</v>
      </c>
      <c r="C41" s="59"/>
      <c r="D41" s="59"/>
      <c r="E41" s="59"/>
      <c r="F41" s="59"/>
      <c r="G41" s="59"/>
      <c r="H41" s="59"/>
      <c r="I41" s="58">
        <v>600000</v>
      </c>
      <c r="J41" s="46">
        <v>600000</v>
      </c>
      <c r="K41" s="46">
        <v>600000</v>
      </c>
      <c r="L41" s="46">
        <v>600000</v>
      </c>
      <c r="M41" s="46">
        <v>600000</v>
      </c>
      <c r="N41" s="46">
        <v>600000</v>
      </c>
      <c r="O41" s="46">
        <v>600000</v>
      </c>
      <c r="P41" s="46">
        <v>600000</v>
      </c>
      <c r="Q41" s="46">
        <v>600000</v>
      </c>
      <c r="R41" s="46">
        <v>600000</v>
      </c>
    </row>
    <row r="42" spans="2:19" x14ac:dyDescent="0.25">
      <c r="B42" s="31" t="s">
        <v>319</v>
      </c>
      <c r="C42" s="59"/>
      <c r="D42" s="59"/>
      <c r="E42" s="59"/>
      <c r="F42" s="59"/>
      <c r="G42" s="59"/>
      <c r="H42" s="59"/>
      <c r="I42" s="58">
        <f t="shared" ref="I42:R42" si="49">I81</f>
        <v>81300</v>
      </c>
      <c r="J42" s="46">
        <f t="shared" si="49"/>
        <v>102530.87156891605</v>
      </c>
      <c r="K42" s="46">
        <f t="shared" si="49"/>
        <v>102530.87156891605</v>
      </c>
      <c r="L42" s="46">
        <f t="shared" si="49"/>
        <v>101954.47231455846</v>
      </c>
      <c r="M42" s="46">
        <f t="shared" si="49"/>
        <v>101813.47654070369</v>
      </c>
      <c r="N42" s="46">
        <f t="shared" si="49"/>
        <v>90010.596420649512</v>
      </c>
      <c r="O42" s="46">
        <f t="shared" si="49"/>
        <v>94478.002844846022</v>
      </c>
      <c r="P42" s="46">
        <f t="shared" si="49"/>
        <v>94900.320503794661</v>
      </c>
      <c r="Q42" s="46">
        <f t="shared" si="49"/>
        <v>110593.59276937321</v>
      </c>
      <c r="R42" s="46">
        <f t="shared" si="49"/>
        <v>116930.89802575581</v>
      </c>
    </row>
    <row r="43" spans="2:19" x14ac:dyDescent="0.25">
      <c r="B43" s="31" t="s">
        <v>317</v>
      </c>
      <c r="C43" s="59"/>
      <c r="D43" s="59"/>
      <c r="E43" s="59"/>
      <c r="F43" s="59"/>
      <c r="G43" s="59"/>
      <c r="H43" s="59"/>
      <c r="I43" s="58">
        <f t="shared" ref="I43:R43" si="50">I41-I42</f>
        <v>518700</v>
      </c>
      <c r="J43" s="46">
        <f t="shared" si="50"/>
        <v>497469.12843108398</v>
      </c>
      <c r="K43" s="46">
        <f t="shared" si="50"/>
        <v>497469.12843108398</v>
      </c>
      <c r="L43" s="46">
        <f t="shared" si="50"/>
        <v>498045.52768544154</v>
      </c>
      <c r="M43" s="46">
        <f t="shared" si="50"/>
        <v>498186.52345929632</v>
      </c>
      <c r="N43" s="46">
        <f t="shared" si="50"/>
        <v>509989.4035793505</v>
      </c>
      <c r="O43" s="46">
        <f t="shared" si="50"/>
        <v>505521.99715515401</v>
      </c>
      <c r="P43" s="46">
        <f t="shared" si="50"/>
        <v>505099.67949620535</v>
      </c>
      <c r="Q43" s="46">
        <f t="shared" si="50"/>
        <v>489406.40723062679</v>
      </c>
      <c r="R43" s="46">
        <f t="shared" si="50"/>
        <v>483069.10197424417</v>
      </c>
    </row>
    <row r="44" spans="2:19" x14ac:dyDescent="0.25">
      <c r="B44" s="31" t="s">
        <v>320</v>
      </c>
      <c r="C44" s="59"/>
      <c r="D44" s="59"/>
      <c r="E44" s="59"/>
      <c r="F44" s="59"/>
      <c r="G44" s="59"/>
      <c r="H44" s="59"/>
      <c r="I44" s="58">
        <f t="shared" ref="I44:R44" si="51">I43*0.005</f>
        <v>2593.5</v>
      </c>
      <c r="J44" s="46">
        <f t="shared" si="51"/>
        <v>2487.3456421554201</v>
      </c>
      <c r="K44" s="46">
        <f t="shared" si="51"/>
        <v>2487.3456421554201</v>
      </c>
      <c r="L44" s="46">
        <f t="shared" si="51"/>
        <v>2490.2276384272077</v>
      </c>
      <c r="M44" s="46">
        <f t="shared" si="51"/>
        <v>2490.9326172964816</v>
      </c>
      <c r="N44" s="46">
        <f t="shared" si="51"/>
        <v>2549.9470178967526</v>
      </c>
      <c r="O44" s="46">
        <f t="shared" si="51"/>
        <v>2527.6099857757699</v>
      </c>
      <c r="P44" s="46">
        <f t="shared" si="51"/>
        <v>2525.498397481027</v>
      </c>
      <c r="Q44" s="46">
        <f t="shared" si="51"/>
        <v>2447.032036153134</v>
      </c>
      <c r="R44" s="46">
        <f t="shared" si="51"/>
        <v>2415.3455098712211</v>
      </c>
    </row>
    <row r="45" spans="2:19" x14ac:dyDescent="0.25"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</row>
    <row r="46" spans="2:19" x14ac:dyDescent="0.25">
      <c r="B46" s="29" t="s">
        <v>271</v>
      </c>
      <c r="C46" s="30">
        <f>C$2</f>
        <v>44196</v>
      </c>
      <c r="D46" s="30">
        <f t="shared" ref="D46:R46" si="52">D$2</f>
        <v>44561</v>
      </c>
      <c r="E46" s="30">
        <f t="shared" si="52"/>
        <v>44926</v>
      </c>
      <c r="F46" s="30">
        <f t="shared" si="52"/>
        <v>45291</v>
      </c>
      <c r="G46" s="30" t="str">
        <f t="shared" si="52"/>
        <v>Q1-24</v>
      </c>
      <c r="H46" s="30" t="str">
        <f t="shared" si="52"/>
        <v>Q2-24</v>
      </c>
      <c r="I46" s="30" t="str">
        <f t="shared" si="52"/>
        <v>Q3-24</v>
      </c>
      <c r="J46" s="30" t="str">
        <f t="shared" si="52"/>
        <v>Q4-24</v>
      </c>
      <c r="K46" s="30">
        <f t="shared" si="52"/>
        <v>45657</v>
      </c>
      <c r="L46" s="30">
        <f t="shared" si="52"/>
        <v>46022</v>
      </c>
      <c r="M46" s="30">
        <f t="shared" si="52"/>
        <v>46387</v>
      </c>
      <c r="N46" s="30">
        <f t="shared" si="52"/>
        <v>46752</v>
      </c>
      <c r="O46" s="30">
        <f t="shared" si="52"/>
        <v>47118</v>
      </c>
      <c r="P46" s="30">
        <f t="shared" si="52"/>
        <v>47483</v>
      </c>
      <c r="Q46" s="30">
        <f t="shared" si="52"/>
        <v>47848</v>
      </c>
      <c r="R46" s="30">
        <f t="shared" si="52"/>
        <v>48213</v>
      </c>
    </row>
    <row r="48" spans="2:19" x14ac:dyDescent="0.25">
      <c r="B48" s="34" t="s">
        <v>302</v>
      </c>
      <c r="C48" s="43">
        <f>'Income Statement'!C6</f>
        <v>3192399</v>
      </c>
      <c r="D48" s="43">
        <f>'Income Statement'!D6</f>
        <v>3243224</v>
      </c>
      <c r="E48" s="43">
        <f>'Income Statement'!E6</f>
        <v>3691893</v>
      </c>
      <c r="F48" s="43">
        <f>'Income Statement'!F6</f>
        <v>4009282</v>
      </c>
      <c r="G48" s="43">
        <f>'Income Statement'!G6</f>
        <v>953969</v>
      </c>
      <c r="H48" s="43">
        <f>'Income Statement'!H6</f>
        <v>935348</v>
      </c>
      <c r="I48" s="43">
        <f>'Income Statement'!I6</f>
        <v>979350</v>
      </c>
      <c r="J48" s="44">
        <f>J9</f>
        <v>952178.74599999981</v>
      </c>
      <c r="K48" s="44">
        <f>SUM(G48:J48)</f>
        <v>3820845.7459999998</v>
      </c>
      <c r="L48" s="44">
        <f t="shared" ref="L48:R48" si="53">L9</f>
        <v>3629803.4586999998</v>
      </c>
      <c r="M48" s="44">
        <f t="shared" si="53"/>
        <v>3520909.3549389997</v>
      </c>
      <c r="N48" s="44">
        <f t="shared" si="53"/>
        <v>3520909.3549389997</v>
      </c>
      <c r="O48" s="44">
        <f t="shared" si="53"/>
        <v>3591327.5420377799</v>
      </c>
      <c r="P48" s="44">
        <f t="shared" si="53"/>
        <v>3699067.3682989134</v>
      </c>
      <c r="Q48" s="44">
        <f t="shared" si="53"/>
        <v>3838744.1521258806</v>
      </c>
      <c r="R48" s="44">
        <f t="shared" si="53"/>
        <v>4016677.6210652194</v>
      </c>
    </row>
    <row r="49" spans="2:19" x14ac:dyDescent="0.25">
      <c r="B49" s="38" t="s">
        <v>272</v>
      </c>
      <c r="C49" s="45">
        <f t="shared" ref="C49:R49" si="54">SUM(C48:C48)</f>
        <v>3192399</v>
      </c>
      <c r="D49" s="45">
        <f t="shared" si="54"/>
        <v>3243224</v>
      </c>
      <c r="E49" s="45">
        <f t="shared" si="54"/>
        <v>3691893</v>
      </c>
      <c r="F49" s="45">
        <f t="shared" si="54"/>
        <v>4009282</v>
      </c>
      <c r="G49" s="45">
        <f t="shared" si="54"/>
        <v>953969</v>
      </c>
      <c r="H49" s="45">
        <f t="shared" si="54"/>
        <v>935348</v>
      </c>
      <c r="I49" s="45">
        <f t="shared" si="54"/>
        <v>979350</v>
      </c>
      <c r="J49" s="45">
        <f t="shared" si="54"/>
        <v>952178.74599999981</v>
      </c>
      <c r="K49" s="45">
        <f t="shared" si="54"/>
        <v>3820845.7459999998</v>
      </c>
      <c r="L49" s="45">
        <f t="shared" si="54"/>
        <v>3629803.4586999998</v>
      </c>
      <c r="M49" s="45">
        <f t="shared" si="54"/>
        <v>3520909.3549389997</v>
      </c>
      <c r="N49" s="45">
        <f t="shared" si="54"/>
        <v>3520909.3549389997</v>
      </c>
      <c r="O49" s="45">
        <f t="shared" si="54"/>
        <v>3591327.5420377799</v>
      </c>
      <c r="P49" s="45">
        <f t="shared" si="54"/>
        <v>3699067.3682989134</v>
      </c>
      <c r="Q49" s="45">
        <f t="shared" si="54"/>
        <v>3838744.1521258806</v>
      </c>
      <c r="R49" s="45">
        <f t="shared" si="54"/>
        <v>4016677.6210652194</v>
      </c>
    </row>
    <row r="50" spans="2:19" x14ac:dyDescent="0.25"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</row>
    <row r="51" spans="2:19" x14ac:dyDescent="0.25">
      <c r="B51" s="34" t="s">
        <v>308</v>
      </c>
      <c r="C51" s="43">
        <f>-'Income Statement'!C7</f>
        <v>-1849077</v>
      </c>
      <c r="D51" s="43">
        <f>-'Income Statement'!D7</f>
        <v>-1909709</v>
      </c>
      <c r="E51" s="43">
        <f>-'Income Statement'!E7</f>
        <v>-2133645</v>
      </c>
      <c r="F51" s="43">
        <f>-'Income Statement'!F7</f>
        <v>-2366317</v>
      </c>
      <c r="G51" s="43">
        <f>-'Income Statement'!G7</f>
        <v>-560852</v>
      </c>
      <c r="H51" s="43">
        <f>-'Income Statement'!H7</f>
        <v>-546737</v>
      </c>
      <c r="I51" s="43">
        <f>-'Income Statement'!I7</f>
        <v>-578903</v>
      </c>
      <c r="J51" s="44">
        <f>-J$48*J13</f>
        <v>-559738.78025917511</v>
      </c>
      <c r="K51" s="44">
        <f>SUM(G51:J51)</f>
        <v>-2246230.7802591752</v>
      </c>
      <c r="L51" s="44">
        <f>-L$48*L13</f>
        <v>-2159056.4214512762</v>
      </c>
      <c r="M51" s="44">
        <f t="shared" ref="M51:R51" si="55">-M$48*M13</f>
        <v>-2091187.1847089326</v>
      </c>
      <c r="N51" s="44">
        <f t="shared" si="55"/>
        <v>-2078584.7209277505</v>
      </c>
      <c r="O51" s="44">
        <f t="shared" si="55"/>
        <v>-2118308.6164037888</v>
      </c>
      <c r="P51" s="44">
        <f t="shared" si="55"/>
        <v>-2168267.7423350234</v>
      </c>
      <c r="Q51" s="44">
        <f t="shared" si="55"/>
        <v>-2248819.2297278331</v>
      </c>
      <c r="R51" s="44">
        <f t="shared" si="55"/>
        <v>-2353866.2675725338</v>
      </c>
    </row>
    <row r="52" spans="2:19" x14ac:dyDescent="0.25">
      <c r="B52" s="34" t="s">
        <v>273</v>
      </c>
      <c r="C52" s="43">
        <f>-'Income Statement'!C11</f>
        <v>-975553</v>
      </c>
      <c r="D52" s="43">
        <f>-'Income Statement'!D11</f>
        <v>-994468</v>
      </c>
      <c r="E52" s="43">
        <f>-'Income Statement'!E11</f>
        <v>-1083862</v>
      </c>
      <c r="F52" s="43">
        <f>-'Income Statement'!F11</f>
        <v>-1151295</v>
      </c>
      <c r="G52" s="43">
        <f>-'Income Statement'!G11</f>
        <v>-290633</v>
      </c>
      <c r="H52" s="43">
        <f>-'Income Statement'!H11</f>
        <v>-291235</v>
      </c>
      <c r="I52" s="43">
        <f>-'Income Statement'!I11</f>
        <v>-288991</v>
      </c>
      <c r="J52" s="44">
        <f>-J$48*J15</f>
        <v>-289178.76111293869</v>
      </c>
      <c r="K52" s="44">
        <f>SUM(G52:J52)</f>
        <v>-1160037.7611129386</v>
      </c>
      <c r="L52" s="44">
        <f t="shared" ref="L52:R52" si="56">-L$48*L15</f>
        <v>-1140890.4565841034</v>
      </c>
      <c r="M52" s="44">
        <f t="shared" si="56"/>
        <v>-1091682.790760899</v>
      </c>
      <c r="N52" s="44">
        <f t="shared" si="56"/>
        <v>-1071562.6273616913</v>
      </c>
      <c r="O52" s="44">
        <f t="shared" si="56"/>
        <v>-1084204.9291244822</v>
      </c>
      <c r="P52" s="44">
        <f t="shared" si="56"/>
        <v>-1105439.9736818932</v>
      </c>
      <c r="Q52" s="44">
        <f t="shared" si="56"/>
        <v>-1143523.2939005268</v>
      </c>
      <c r="R52" s="44">
        <f t="shared" si="56"/>
        <v>-1195385.5729399191</v>
      </c>
    </row>
    <row r="53" spans="2:19" x14ac:dyDescent="0.25">
      <c r="B53" s="34" t="s">
        <v>298</v>
      </c>
      <c r="C53" s="43">
        <f>-'Income Statement'!C12</f>
        <v>0</v>
      </c>
      <c r="D53" s="43">
        <f>-'Income Statement'!D12</f>
        <v>-5886</v>
      </c>
      <c r="E53" s="43">
        <f>-'Income Statement'!E12</f>
        <v>0</v>
      </c>
      <c r="F53" s="43">
        <f>-'Income Statement'!F12</f>
        <v>0</v>
      </c>
      <c r="G53" s="43">
        <f>-'Income Statement'!G12</f>
        <v>0</v>
      </c>
      <c r="H53" s="43">
        <f>-'Income Statement'!H12</f>
        <v>0</v>
      </c>
      <c r="I53" s="43">
        <f>-'Income Statement'!I12</f>
        <v>0</v>
      </c>
      <c r="J53" s="44">
        <f>-J$48*J16</f>
        <v>0</v>
      </c>
      <c r="K53" s="44">
        <f>SUM(G53:J53)</f>
        <v>0</v>
      </c>
      <c r="L53" s="44">
        <f>K53</f>
        <v>0</v>
      </c>
      <c r="M53" s="44">
        <f t="shared" ref="M53:R53" si="57">L53</f>
        <v>0</v>
      </c>
      <c r="N53" s="44">
        <f t="shared" si="57"/>
        <v>0</v>
      </c>
      <c r="O53" s="44">
        <f t="shared" si="57"/>
        <v>0</v>
      </c>
      <c r="P53" s="44">
        <f t="shared" si="57"/>
        <v>0</v>
      </c>
      <c r="Q53" s="44">
        <f t="shared" si="57"/>
        <v>0</v>
      </c>
      <c r="R53" s="44">
        <f t="shared" si="57"/>
        <v>0</v>
      </c>
    </row>
    <row r="54" spans="2:19" x14ac:dyDescent="0.25">
      <c r="B54" s="34" t="s">
        <v>299</v>
      </c>
      <c r="C54" s="43">
        <f>-'Income Statement'!C13</f>
        <v>-17029</v>
      </c>
      <c r="D54" s="43">
        <f>-'Income Statement'!D13</f>
        <v>-31392</v>
      </c>
      <c r="E54" s="43">
        <f>-'Income Statement'!E13</f>
        <v>-15805</v>
      </c>
      <c r="F54" s="43">
        <f>-'Income Statement'!F13</f>
        <v>-7937</v>
      </c>
      <c r="G54" s="43">
        <f>-'Income Statement'!G13</f>
        <v>-916</v>
      </c>
      <c r="H54" s="43">
        <f>-'Income Statement'!H13</f>
        <v>-6181</v>
      </c>
      <c r="I54" s="43">
        <f>-'Income Statement'!I13</f>
        <v>-4690</v>
      </c>
      <c r="J54" s="44">
        <f>-J$48*J17</f>
        <v>-6677.9508127977051</v>
      </c>
      <c r="K54" s="44">
        <f>SUM(G54:J54)</f>
        <v>-18464.950812797706</v>
      </c>
      <c r="L54" s="44">
        <f t="shared" ref="L54:R54" si="58">-L$48*L17</f>
        <v>-32399.372305638251</v>
      </c>
      <c r="M54" s="44">
        <f t="shared" si="58"/>
        <v>-31227.734844729239</v>
      </c>
      <c r="N54" s="44">
        <f t="shared" si="58"/>
        <v>-25897.865195724906</v>
      </c>
      <c r="O54" s="44">
        <f t="shared" si="58"/>
        <v>-26378.426943709157</v>
      </c>
      <c r="P54" s="44">
        <f t="shared" si="58"/>
        <v>-30122.284763924865</v>
      </c>
      <c r="Q54" s="44">
        <f t="shared" si="58"/>
        <v>-31200.428130658744</v>
      </c>
      <c r="R54" s="44">
        <f t="shared" si="58"/>
        <v>-32005.439635563725</v>
      </c>
    </row>
    <row r="55" spans="2:19" x14ac:dyDescent="0.25">
      <c r="B55" s="34" t="s">
        <v>300</v>
      </c>
      <c r="C55" s="43">
        <f>-'Income Statement'!C14</f>
        <v>0</v>
      </c>
      <c r="D55" s="43">
        <f>-'Income Statement'!D14</f>
        <v>0</v>
      </c>
      <c r="E55" s="43">
        <f>-'Income Statement'!E14</f>
        <v>10132</v>
      </c>
      <c r="F55" s="43">
        <f>-'Income Statement'!F14</f>
        <v>0</v>
      </c>
      <c r="G55" s="43">
        <f>-'Income Statement'!G14</f>
        <v>0</v>
      </c>
      <c r="H55" s="43">
        <f>-'Income Statement'!H14</f>
        <v>0</v>
      </c>
      <c r="I55" s="43">
        <f>-'Income Statement'!I14</f>
        <v>0</v>
      </c>
      <c r="J55" s="44">
        <f>-J$48*J18</f>
        <v>0</v>
      </c>
      <c r="K55" s="44">
        <f>SUM(G55:J55)</f>
        <v>0</v>
      </c>
      <c r="L55" s="44">
        <f>K55</f>
        <v>0</v>
      </c>
      <c r="M55" s="44">
        <f t="shared" ref="M55:R55" si="59">L55</f>
        <v>0</v>
      </c>
      <c r="N55" s="44">
        <f t="shared" si="59"/>
        <v>0</v>
      </c>
      <c r="O55" s="44">
        <f t="shared" si="59"/>
        <v>0</v>
      </c>
      <c r="P55" s="44">
        <f t="shared" si="59"/>
        <v>0</v>
      </c>
      <c r="Q55" s="44">
        <f t="shared" si="59"/>
        <v>0</v>
      </c>
      <c r="R55" s="44">
        <f t="shared" si="59"/>
        <v>0</v>
      </c>
    </row>
    <row r="56" spans="2:19" x14ac:dyDescent="0.25">
      <c r="B56" s="38" t="s">
        <v>274</v>
      </c>
      <c r="C56" s="45">
        <f>C49+SUM(C51:C55)</f>
        <v>350740</v>
      </c>
      <c r="D56" s="45">
        <f>D49+SUM(D51:D55)</f>
        <v>301769</v>
      </c>
      <c r="E56" s="45">
        <f>E49+SUM(E51:E55)</f>
        <v>468713</v>
      </c>
      <c r="F56" s="45">
        <f>F49+SUM(F51:F55)</f>
        <v>483733</v>
      </c>
      <c r="G56" s="45">
        <f t="shared" ref="G56:R56" si="60">G49+SUM(G51:G55)</f>
        <v>101568</v>
      </c>
      <c r="H56" s="45">
        <f t="shared" si="60"/>
        <v>91195</v>
      </c>
      <c r="I56" s="45">
        <f t="shared" si="60"/>
        <v>106766</v>
      </c>
      <c r="J56" s="83">
        <f t="shared" si="60"/>
        <v>96583.253815088188</v>
      </c>
      <c r="K56" s="83">
        <f t="shared" si="60"/>
        <v>396112.25381508842</v>
      </c>
      <c r="L56" s="83">
        <f t="shared" si="60"/>
        <v>297457.20835898211</v>
      </c>
      <c r="M56" s="83">
        <f t="shared" si="60"/>
        <v>306811.64462443907</v>
      </c>
      <c r="N56" s="83">
        <f t="shared" si="60"/>
        <v>344864.14145383285</v>
      </c>
      <c r="O56" s="83">
        <f t="shared" si="60"/>
        <v>362435.56956579955</v>
      </c>
      <c r="P56" s="83">
        <f t="shared" si="60"/>
        <v>395237.36751807202</v>
      </c>
      <c r="Q56" s="83">
        <f t="shared" si="60"/>
        <v>415201.20036686212</v>
      </c>
      <c r="R56" s="83">
        <f t="shared" si="60"/>
        <v>435420.34091720311</v>
      </c>
    </row>
    <row r="57" spans="2:19" s="209" customFormat="1" x14ac:dyDescent="0.25">
      <c r="B57" s="207" t="s">
        <v>352</v>
      </c>
      <c r="C57" s="208">
        <f>(SUM(C49:C51)/C49)</f>
        <v>0.42078762711052098</v>
      </c>
      <c r="D57" s="208">
        <f t="shared" ref="D57:R57" si="61">(SUM(D49:D51)/D49)</f>
        <v>0.41116956460608334</v>
      </c>
      <c r="E57" s="208">
        <f t="shared" si="61"/>
        <v>0.4220729040630376</v>
      </c>
      <c r="F57" s="208">
        <f t="shared" si="61"/>
        <v>0.40979033153567146</v>
      </c>
      <c r="G57" s="208">
        <f t="shared" si="61"/>
        <v>0.41208571767007102</v>
      </c>
      <c r="H57" s="208">
        <f t="shared" si="61"/>
        <v>0.41547210236190169</v>
      </c>
      <c r="I57" s="208">
        <f t="shared" si="61"/>
        <v>0.40889059069791189</v>
      </c>
      <c r="J57" s="208">
        <f t="shared" si="61"/>
        <v>0.41214947024329485</v>
      </c>
      <c r="K57" s="208">
        <f t="shared" si="61"/>
        <v>0.41211162931381651</v>
      </c>
      <c r="L57" s="208">
        <f t="shared" si="61"/>
        <v>0.40518641132582589</v>
      </c>
      <c r="M57" s="208">
        <f t="shared" si="61"/>
        <v>0.40606616816888697</v>
      </c>
      <c r="N57" s="208">
        <f t="shared" si="61"/>
        <v>0.40964548888144769</v>
      </c>
      <c r="O57" s="208">
        <f t="shared" si="61"/>
        <v>0.41016000584512974</v>
      </c>
      <c r="P57" s="208">
        <f t="shared" si="61"/>
        <v>0.41383394070702134</v>
      </c>
      <c r="Q57" s="208">
        <f t="shared" si="61"/>
        <v>0.41417840298566228</v>
      </c>
      <c r="R57" s="208">
        <f t="shared" si="61"/>
        <v>0.41397680131762965</v>
      </c>
    </row>
    <row r="58" spans="2:19" x14ac:dyDescent="0.25">
      <c r="C58" s="46"/>
      <c r="D58" s="46"/>
      <c r="E58" s="46"/>
      <c r="F58" s="46"/>
      <c r="G58" s="46"/>
      <c r="H58" s="46"/>
      <c r="I58" s="46"/>
      <c r="J58" s="49"/>
      <c r="K58" s="49"/>
      <c r="L58" s="49"/>
      <c r="M58" s="49"/>
      <c r="N58" s="49"/>
      <c r="O58" s="49"/>
      <c r="P58" s="49"/>
      <c r="Q58" s="49"/>
      <c r="R58" s="49"/>
    </row>
    <row r="59" spans="2:19" x14ac:dyDescent="0.25">
      <c r="B59" s="34" t="s">
        <v>275</v>
      </c>
      <c r="C59" s="43">
        <f>'Income Statement'!C19+'Income Statement'!C20</f>
        <v>-16340</v>
      </c>
      <c r="D59" s="43">
        <f>'Income Statement'!D19+'Income Statement'!D20</f>
        <v>-14444</v>
      </c>
      <c r="E59" s="43">
        <f>'Income Statement'!E19+'Income Statement'!E20</f>
        <v>-17449</v>
      </c>
      <c r="F59" s="43">
        <f>'Income Statement'!F19+'Income Statement'!F20</f>
        <v>-21509</v>
      </c>
      <c r="G59" s="43">
        <f>'Income Statement'!G19+'Income Statement'!G20</f>
        <v>-5195</v>
      </c>
      <c r="H59" s="43">
        <f>'Income Statement'!H19+'Income Statement'!H20</f>
        <v>-6908</v>
      </c>
      <c r="I59" s="43">
        <f>'Income Statement'!I19+'Income Statement'!I20</f>
        <v>-6750</v>
      </c>
      <c r="J59" s="49">
        <f>J$48*J19</f>
        <v>-6260.0936533050226</v>
      </c>
      <c r="K59" s="49">
        <f>SUM(G59:J59)</f>
        <v>-25113.093653305023</v>
      </c>
      <c r="L59" s="49">
        <f t="shared" ref="L59:R59" si="62">L$48*L19</f>
        <v>-19046.128045269783</v>
      </c>
      <c r="M59" s="49">
        <f t="shared" si="62"/>
        <v>-18565.403050886653</v>
      </c>
      <c r="N59" s="49">
        <f t="shared" si="62"/>
        <v>-19142.344145400628</v>
      </c>
      <c r="O59" s="49">
        <f t="shared" si="62"/>
        <v>-20035.489772072786</v>
      </c>
      <c r="P59" s="49">
        <f t="shared" si="62"/>
        <v>-20794.913310272306</v>
      </c>
      <c r="Q59" s="49">
        <f t="shared" si="62"/>
        <v>-20850.008350663946</v>
      </c>
      <c r="R59" s="49">
        <f t="shared" si="62"/>
        <v>-21964.514461121922</v>
      </c>
    </row>
    <row r="60" spans="2:19" x14ac:dyDescent="0.25">
      <c r="B60" s="34" t="s">
        <v>276</v>
      </c>
      <c r="C60" s="43">
        <f>'Income Statement'!C21</f>
        <v>-150</v>
      </c>
      <c r="D60" s="43">
        <f>'Income Statement'!D21</f>
        <v>1054</v>
      </c>
      <c r="E60" s="43">
        <f>'Income Statement'!E21</f>
        <v>-132</v>
      </c>
      <c r="F60" s="43">
        <f>'Income Statement'!F21</f>
        <v>-6068</v>
      </c>
      <c r="G60" s="43">
        <f>'Income Statement'!G21</f>
        <v>-5055</v>
      </c>
      <c r="H60" s="43">
        <f>'Income Statement'!H21</f>
        <v>-4332</v>
      </c>
      <c r="I60" s="43">
        <f>'Income Statement'!I21</f>
        <v>-4680</v>
      </c>
      <c r="J60" s="49">
        <f>-SOFR!$C$29*I83/4-I44/4</f>
        <v>-4723.6237999999994</v>
      </c>
      <c r="K60" s="49">
        <f>SUM(G60:J60)</f>
        <v>-18790.623800000001</v>
      </c>
      <c r="L60" s="49">
        <f>-SOFR!$C$29*K83-K44</f>
        <v>-18747.68998130754</v>
      </c>
      <c r="M60" s="49">
        <f>-SOFR!$C$29*L83-L44</f>
        <v>-18589.578469270891</v>
      </c>
      <c r="N60" s="49">
        <f>-SOFR!$C$29*M83-M44</f>
        <v>-18430.883934963495</v>
      </c>
      <c r="O60" s="49">
        <f>-SOFR!$C$29*N83-N44</f>
        <v>-18332.077035388844</v>
      </c>
      <c r="P60" s="49">
        <f>-SOFR!$C$29*O83-O44</f>
        <v>-18153.481290223386</v>
      </c>
      <c r="Q60" s="49">
        <f>-SOFR!$C$29*P83-P44</f>
        <v>-17996.658104854905</v>
      </c>
      <c r="R60" s="49">
        <f>-SOFR!$C$29*Q83-Q44</f>
        <v>-17765.011944444101</v>
      </c>
      <c r="S60" s="31" t="s">
        <v>329</v>
      </c>
    </row>
    <row r="61" spans="2:19" x14ac:dyDescent="0.25">
      <c r="B61" s="38" t="s">
        <v>277</v>
      </c>
      <c r="C61" s="45">
        <f t="shared" ref="C61:I61" si="63">C56+SUM(C59:C60)</f>
        <v>334250</v>
      </c>
      <c r="D61" s="45">
        <f t="shared" si="63"/>
        <v>288379</v>
      </c>
      <c r="E61" s="45">
        <f t="shared" si="63"/>
        <v>451132</v>
      </c>
      <c r="F61" s="45">
        <f t="shared" si="63"/>
        <v>456156</v>
      </c>
      <c r="G61" s="45">
        <f t="shared" si="63"/>
        <v>91318</v>
      </c>
      <c r="H61" s="45">
        <f t="shared" si="63"/>
        <v>79955</v>
      </c>
      <c r="I61" s="45">
        <f t="shared" si="63"/>
        <v>95336</v>
      </c>
      <c r="J61" s="45">
        <f>J56+SUM(J59:J60)</f>
        <v>85599.536361783161</v>
      </c>
      <c r="K61" s="45">
        <f t="shared" ref="K61:R61" si="64">K56+SUM(K59:K60)</f>
        <v>352208.53636178339</v>
      </c>
      <c r="L61" s="45">
        <f t="shared" si="64"/>
        <v>259663.39033240479</v>
      </c>
      <c r="M61" s="45">
        <f t="shared" si="64"/>
        <v>269656.66310428153</v>
      </c>
      <c r="N61" s="45">
        <f t="shared" si="64"/>
        <v>307290.91337346873</v>
      </c>
      <c r="O61" s="45">
        <f t="shared" si="64"/>
        <v>324068.00275833794</v>
      </c>
      <c r="P61" s="45">
        <f t="shared" si="64"/>
        <v>356288.97291757632</v>
      </c>
      <c r="Q61" s="45">
        <f t="shared" si="64"/>
        <v>376354.53391134326</v>
      </c>
      <c r="R61" s="45">
        <f t="shared" si="64"/>
        <v>395690.81451163709</v>
      </c>
    </row>
    <row r="62" spans="2:19" x14ac:dyDescent="0.25"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</row>
    <row r="63" spans="2:19" x14ac:dyDescent="0.25">
      <c r="B63" s="32" t="s">
        <v>278</v>
      </c>
      <c r="C63" s="43">
        <f>-'Income Statement'!C24</f>
        <v>-82492</v>
      </c>
      <c r="D63" s="43">
        <f>-'Income Statement'!D24</f>
        <v>-70442</v>
      </c>
      <c r="E63" s="43">
        <f>-'Income Statement'!E24</f>
        <v>-110650</v>
      </c>
      <c r="F63" s="43">
        <f>-'Income Statement'!F24</f>
        <v>-113049</v>
      </c>
      <c r="G63" s="43">
        <f>-'Income Statement'!G24</f>
        <v>-22190</v>
      </c>
      <c r="H63" s="43">
        <f>-'Income Statement'!H24</f>
        <v>-18390</v>
      </c>
      <c r="I63" s="43">
        <f>-'Income Statement'!I24</f>
        <v>-24024</v>
      </c>
      <c r="J63" s="44">
        <f>-J61*J20</f>
        <v>-20686.392786415134</v>
      </c>
      <c r="K63" s="44">
        <f>SUM(G63:J63)</f>
        <v>-85290.392786415134</v>
      </c>
      <c r="L63" s="44">
        <f t="shared" ref="L63:R63" si="65">-L61*L20</f>
        <v>-63686.41970601309</v>
      </c>
      <c r="M63" s="44">
        <f t="shared" si="65"/>
        <v>-66054.799642312239</v>
      </c>
      <c r="N63" s="44">
        <f t="shared" si="65"/>
        <v>-75316.054862112302</v>
      </c>
      <c r="O63" s="44">
        <f t="shared" si="65"/>
        <v>-79416.726702561398</v>
      </c>
      <c r="P63" s="44">
        <f t="shared" si="65"/>
        <v>-87115.634254837525</v>
      </c>
      <c r="Q63" s="44">
        <f t="shared" si="65"/>
        <v>-92198.686456338401</v>
      </c>
      <c r="R63" s="44">
        <f t="shared" si="65"/>
        <v>-96912.940886876895</v>
      </c>
    </row>
    <row r="64" spans="2:19" x14ac:dyDescent="0.25"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</row>
    <row r="65" spans="2:19" x14ac:dyDescent="0.25">
      <c r="B65" s="39" t="s">
        <v>279</v>
      </c>
      <c r="C65" s="47">
        <f>C61+C63</f>
        <v>251758</v>
      </c>
      <c r="D65" s="47">
        <f t="shared" ref="D65:J65" si="66">D61+D63</f>
        <v>217937</v>
      </c>
      <c r="E65" s="47">
        <f t="shared" si="66"/>
        <v>340482</v>
      </c>
      <c r="F65" s="47">
        <f t="shared" si="66"/>
        <v>343107</v>
      </c>
      <c r="G65" s="47">
        <f>G61+G63</f>
        <v>69128</v>
      </c>
      <c r="H65" s="47">
        <f t="shared" si="66"/>
        <v>61565</v>
      </c>
      <c r="I65" s="47">
        <f t="shared" si="66"/>
        <v>71312</v>
      </c>
      <c r="J65" s="47">
        <f t="shared" si="66"/>
        <v>64913.143575368027</v>
      </c>
      <c r="K65" s="47">
        <f>K61+K63</f>
        <v>266918.14357536827</v>
      </c>
      <c r="L65" s="47">
        <f t="shared" ref="L65:R65" si="67">L61+L63</f>
        <v>195976.9706263917</v>
      </c>
      <c r="M65" s="47">
        <f t="shared" si="67"/>
        <v>203601.8634619693</v>
      </c>
      <c r="N65" s="47">
        <f t="shared" si="67"/>
        <v>231974.85851135643</v>
      </c>
      <c r="O65" s="47">
        <f t="shared" si="67"/>
        <v>244651.27605577654</v>
      </c>
      <c r="P65" s="47">
        <f t="shared" si="67"/>
        <v>269173.3386627388</v>
      </c>
      <c r="Q65" s="47">
        <f t="shared" si="67"/>
        <v>284155.84745500487</v>
      </c>
      <c r="R65" s="47">
        <f t="shared" si="67"/>
        <v>298777.87362476019</v>
      </c>
    </row>
    <row r="66" spans="2:19" x14ac:dyDescent="0.25">
      <c r="B66" s="34" t="s">
        <v>280</v>
      </c>
      <c r="C66" s="43">
        <v>641</v>
      </c>
      <c r="D66" s="43">
        <v>1030</v>
      </c>
      <c r="E66" s="43">
        <v>696</v>
      </c>
      <c r="F66" s="43">
        <v>-126</v>
      </c>
      <c r="G66" s="43">
        <v>-222</v>
      </c>
      <c r="H66" s="43">
        <v>-282</v>
      </c>
      <c r="I66" s="43">
        <v>-393</v>
      </c>
      <c r="J66" s="44">
        <f>J65*J21</f>
        <v>-287.84548751237702</v>
      </c>
      <c r="K66" s="44">
        <f>SUM(G66:J66)</f>
        <v>-1184.8454875123771</v>
      </c>
      <c r="L66" s="44">
        <f t="shared" ref="L66:R66" si="68">L65*L21</f>
        <v>176.77814181895033</v>
      </c>
      <c r="M66" s="44">
        <f t="shared" si="68"/>
        <v>116.70930492333173</v>
      </c>
      <c r="N66" s="44">
        <f t="shared" si="68"/>
        <v>-59.700931370712496</v>
      </c>
      <c r="O66" s="44">
        <f t="shared" si="68"/>
        <v>-175.57730901941792</v>
      </c>
      <c r="P66" s="44">
        <f t="shared" si="68"/>
        <v>-212.04124699166738</v>
      </c>
      <c r="Q66" s="44">
        <f t="shared" si="68"/>
        <v>-16.339781194074572</v>
      </c>
      <c r="R66" s="44">
        <f t="shared" si="68"/>
        <v>-74.5183445246319</v>
      </c>
    </row>
    <row r="67" spans="2:19" x14ac:dyDescent="0.25">
      <c r="B67" s="38" t="s">
        <v>250</v>
      </c>
      <c r="C67" s="45">
        <f>SUM(C65:C66)</f>
        <v>252399</v>
      </c>
      <c r="D67" s="45">
        <f>SUM(D65:D66)</f>
        <v>218967</v>
      </c>
      <c r="E67" s="45">
        <f>SUM(E65:E66)</f>
        <v>341178</v>
      </c>
      <c r="F67" s="45">
        <f>SUM(F65:F66)</f>
        <v>342981</v>
      </c>
      <c r="G67" s="45">
        <f t="shared" ref="G67:R67" si="69">SUM(G65:G66)</f>
        <v>68906</v>
      </c>
      <c r="H67" s="45">
        <f t="shared" si="69"/>
        <v>61283</v>
      </c>
      <c r="I67" s="45">
        <f t="shared" si="69"/>
        <v>70919</v>
      </c>
      <c r="J67" s="45">
        <f t="shared" si="69"/>
        <v>64625.298087855648</v>
      </c>
      <c r="K67" s="45">
        <f t="shared" si="69"/>
        <v>265733.29808785592</v>
      </c>
      <c r="L67" s="45">
        <f t="shared" si="69"/>
        <v>196153.74876821064</v>
      </c>
      <c r="M67" s="45">
        <f t="shared" si="69"/>
        <v>203718.57276689264</v>
      </c>
      <c r="N67" s="45">
        <f t="shared" si="69"/>
        <v>231915.15757998571</v>
      </c>
      <c r="O67" s="45">
        <f t="shared" si="69"/>
        <v>244475.69874675712</v>
      </c>
      <c r="P67" s="45">
        <f t="shared" si="69"/>
        <v>268961.29741574713</v>
      </c>
      <c r="Q67" s="45">
        <f t="shared" si="69"/>
        <v>284139.50767381082</v>
      </c>
      <c r="R67" s="45">
        <f t="shared" si="69"/>
        <v>298703.35528023558</v>
      </c>
    </row>
    <row r="68" spans="2:19" x14ac:dyDescent="0.25">
      <c r="B68" s="207" t="s">
        <v>379</v>
      </c>
      <c r="C68" s="208">
        <f>C67/C49</f>
        <v>7.9062485610351341E-2</v>
      </c>
      <c r="D68" s="208">
        <f t="shared" ref="D68:R68" si="70">D67/D49</f>
        <v>6.7515225590338498E-2</v>
      </c>
      <c r="E68" s="208">
        <f t="shared" si="70"/>
        <v>9.2412754107445691E-2</v>
      </c>
      <c r="F68" s="208">
        <f t="shared" si="70"/>
        <v>8.5546738792631694E-2</v>
      </c>
      <c r="G68" s="208">
        <f t="shared" si="70"/>
        <v>7.2230858654736163E-2</v>
      </c>
      <c r="H68" s="208">
        <f t="shared" si="70"/>
        <v>6.5518929852846214E-2</v>
      </c>
      <c r="I68" s="208">
        <f t="shared" si="70"/>
        <v>7.2414356460917956E-2</v>
      </c>
      <c r="J68" s="208">
        <f t="shared" si="70"/>
        <v>6.7870973133289894E-2</v>
      </c>
      <c r="K68" s="208">
        <f t="shared" si="70"/>
        <v>6.9548292643336646E-2</v>
      </c>
      <c r="L68" s="208">
        <f t="shared" si="70"/>
        <v>5.4039771298929326E-2</v>
      </c>
      <c r="M68" s="208">
        <f t="shared" si="70"/>
        <v>5.7859647105405837E-2</v>
      </c>
      <c r="N68" s="208">
        <f t="shared" si="70"/>
        <v>6.5867971651886986E-2</v>
      </c>
      <c r="O68" s="208">
        <f t="shared" si="70"/>
        <v>6.8073907457640997E-2</v>
      </c>
      <c r="P68" s="208">
        <f t="shared" si="70"/>
        <v>7.2710570161752447E-2</v>
      </c>
      <c r="Q68" s="208">
        <f t="shared" si="70"/>
        <v>7.4018870863393052E-2</v>
      </c>
      <c r="R68" s="208">
        <f t="shared" si="70"/>
        <v>7.4365777754655776E-2</v>
      </c>
    </row>
    <row r="69" spans="2:19" x14ac:dyDescent="0.25">
      <c r="C69" s="46"/>
      <c r="D69" s="209"/>
      <c r="E69" s="46"/>
      <c r="F69" s="46"/>
      <c r="G69" s="46"/>
      <c r="H69" s="46"/>
      <c r="I69" s="46"/>
      <c r="J69" s="46"/>
      <c r="K69" s="46"/>
    </row>
    <row r="70" spans="2:19" x14ac:dyDescent="0.25">
      <c r="B70" s="29" t="s">
        <v>281</v>
      </c>
      <c r="C70" s="30">
        <f>C$2</f>
        <v>44196</v>
      </c>
      <c r="D70" s="30">
        <f t="shared" ref="D70:R70" si="71">D$2</f>
        <v>44561</v>
      </c>
      <c r="E70" s="30">
        <f t="shared" si="71"/>
        <v>44926</v>
      </c>
      <c r="F70" s="30">
        <f t="shared" si="71"/>
        <v>45291</v>
      </c>
      <c r="G70" s="48" t="str">
        <f t="shared" si="71"/>
        <v>Q1-24</v>
      </c>
      <c r="H70" s="48" t="str">
        <f t="shared" si="71"/>
        <v>Q2-24</v>
      </c>
      <c r="I70" s="48" t="str">
        <f t="shared" si="71"/>
        <v>Q3-24</v>
      </c>
      <c r="J70" s="48" t="str">
        <f t="shared" si="71"/>
        <v>Q4-24</v>
      </c>
      <c r="K70" s="30">
        <f t="shared" si="71"/>
        <v>45657</v>
      </c>
      <c r="L70" s="30">
        <f t="shared" si="71"/>
        <v>46022</v>
      </c>
      <c r="M70" s="30">
        <f t="shared" si="71"/>
        <v>46387</v>
      </c>
      <c r="N70" s="30">
        <f t="shared" si="71"/>
        <v>46752</v>
      </c>
      <c r="O70" s="30">
        <f t="shared" si="71"/>
        <v>47118</v>
      </c>
      <c r="P70" s="30">
        <f t="shared" si="71"/>
        <v>47483</v>
      </c>
      <c r="Q70" s="30">
        <f t="shared" si="71"/>
        <v>47848</v>
      </c>
      <c r="R70" s="30">
        <f t="shared" si="71"/>
        <v>48213</v>
      </c>
    </row>
    <row r="71" spans="2:19" x14ac:dyDescent="0.25">
      <c r="C71" s="46"/>
      <c r="D71" s="46"/>
      <c r="E71" s="46"/>
      <c r="F71" s="46"/>
      <c r="G71" s="46"/>
      <c r="H71" s="46"/>
      <c r="I71" s="46"/>
      <c r="J71" s="46"/>
      <c r="K71" s="46"/>
    </row>
    <row r="72" spans="2:19" x14ac:dyDescent="0.25">
      <c r="B72" s="39" t="s">
        <v>282</v>
      </c>
      <c r="C72" s="57"/>
      <c r="D72" s="57"/>
      <c r="E72" s="57"/>
      <c r="F72" s="57"/>
      <c r="G72" s="57"/>
      <c r="H72" s="57"/>
      <c r="I72" s="57"/>
      <c r="J72" s="57"/>
      <c r="K72" s="57"/>
    </row>
    <row r="73" spans="2:19" x14ac:dyDescent="0.25">
      <c r="B73" s="34" t="s">
        <v>283</v>
      </c>
      <c r="C73" s="62">
        <f>'Balance Sheet NWC (Base)'!C7</f>
        <v>125211</v>
      </c>
      <c r="D73" s="62">
        <f>'Balance Sheet NWC (Base)'!D7</f>
        <v>40536</v>
      </c>
      <c r="E73" s="62">
        <f>'Balance Sheet NWC (Base)'!E7</f>
        <v>43537</v>
      </c>
      <c r="F73" s="62">
        <f>'Balance Sheet NWC (Base)'!F7</f>
        <v>50052</v>
      </c>
      <c r="G73" s="62">
        <f>'Balance Sheet NWC (Base)'!G7</f>
        <v>25805</v>
      </c>
      <c r="H73" s="62">
        <f>'Balance Sheet NWC (Base)'!H7</f>
        <v>22227</v>
      </c>
      <c r="I73" s="62">
        <f>'Balance Sheet NWC (Base)'!I7</f>
        <v>25928</v>
      </c>
      <c r="J73" s="55">
        <f>I73+J121</f>
        <v>24999.999999999996</v>
      </c>
      <c r="K73" s="55">
        <f>J73</f>
        <v>24999.999999999996</v>
      </c>
      <c r="L73" s="55">
        <f t="shared" ref="L73:R73" si="72">K73+L121</f>
        <v>24999.999999999971</v>
      </c>
      <c r="M73" s="55">
        <f t="shared" si="72"/>
        <v>24999.999999999989</v>
      </c>
      <c r="N73" s="55">
        <f t="shared" si="72"/>
        <v>24999.999999999989</v>
      </c>
      <c r="O73" s="55">
        <f t="shared" si="72"/>
        <v>25000</v>
      </c>
      <c r="P73" s="55">
        <f t="shared" si="72"/>
        <v>24999.999999999956</v>
      </c>
      <c r="Q73" s="55">
        <f t="shared" si="72"/>
        <v>24999.999999999978</v>
      </c>
      <c r="R73" s="55">
        <f t="shared" si="72"/>
        <v>24999.999999999938</v>
      </c>
    </row>
    <row r="74" spans="2:19" x14ac:dyDescent="0.25">
      <c r="B74" s="34" t="s">
        <v>321</v>
      </c>
      <c r="C74" s="62">
        <f>'Balance Sheet NWC (Base)'!C11-'Balance Sheet NWC (Base)'!C7-'Balance Sheet NWC (Base)'!C24+'Balance Sheet NWC (Downside)'!C20</f>
        <v>826074</v>
      </c>
      <c r="D74" s="62">
        <f>'Balance Sheet NWC (Base)'!D11-'Balance Sheet NWC (Base)'!D7-'Balance Sheet NWC (Base)'!D24+'Balance Sheet NWC (Downside)'!D20</f>
        <v>914214</v>
      </c>
      <c r="E74" s="62">
        <f>'Balance Sheet NWC (Base)'!E11-'Balance Sheet NWC (Base)'!E7-'Balance Sheet NWC (Base)'!E24+'Balance Sheet NWC (Downside)'!E20</f>
        <v>1099822</v>
      </c>
      <c r="F74" s="62">
        <f>'Balance Sheet NWC (Base)'!F11-'Balance Sheet NWC (Base)'!F7-'Balance Sheet NWC (Base)'!F24+'Balance Sheet NWC (Downside)'!F20</f>
        <v>847960</v>
      </c>
      <c r="G74" s="62">
        <f>'Balance Sheet NWC (Base)'!G11-'Balance Sheet NWC (Base)'!G7-'Balance Sheet NWC (Base)'!G24+'Balance Sheet NWC (Downside)'!G20</f>
        <v>861351</v>
      </c>
      <c r="H74" s="62">
        <f>'Balance Sheet NWC (Base)'!H11-'Balance Sheet NWC (Base)'!H7-'Balance Sheet NWC (Base)'!H24+'Balance Sheet NWC (Downside)'!H20</f>
        <v>870085</v>
      </c>
      <c r="I74" s="62">
        <f>'Balance Sheet NWC (Base)'!I11-'Balance Sheet NWC (Base)'!I7-'Balance Sheet NWC (Base)'!I24+'Balance Sheet NWC (Downside)'!I20</f>
        <v>809743</v>
      </c>
      <c r="J74" s="55">
        <f>J48*J$24*4</f>
        <v>844251.1016862198</v>
      </c>
      <c r="K74" s="55">
        <f>J74</f>
        <v>844251.1016862198</v>
      </c>
      <c r="L74" s="55">
        <f t="shared" ref="L74:R74" si="73">L48*L$24</f>
        <v>871984.84930975433</v>
      </c>
      <c r="M74" s="55">
        <f t="shared" si="73"/>
        <v>824699.84770082764</v>
      </c>
      <c r="N74" s="55">
        <f t="shared" si="73"/>
        <v>788000.23907220166</v>
      </c>
      <c r="O74" s="55">
        <f t="shared" si="73"/>
        <v>789211.37475869595</v>
      </c>
      <c r="P74" s="55">
        <f t="shared" si="73"/>
        <v>802438.5360737103</v>
      </c>
      <c r="Q74" s="55">
        <f t="shared" si="73"/>
        <v>833635.27052193286</v>
      </c>
      <c r="R74" s="55">
        <f t="shared" si="73"/>
        <v>871415.90024522471</v>
      </c>
    </row>
    <row r="75" spans="2:19" x14ac:dyDescent="0.25">
      <c r="B75" s="34" t="s">
        <v>284</v>
      </c>
      <c r="C75" s="62">
        <f>'Balance Sheet NWC (Base)'!C12+'Balance Sheet NWC (Base)'!C13+'Balance Sheet NWC (Base)'!C14</f>
        <v>1084431</v>
      </c>
      <c r="D75" s="62">
        <f>'Balance Sheet NWC (Base)'!D12+'Balance Sheet NWC (Base)'!D13+'Balance Sheet NWC (Base)'!D14</f>
        <v>1092974</v>
      </c>
      <c r="E75" s="62">
        <f>'Balance Sheet NWC (Base)'!E12+'Balance Sheet NWC (Base)'!E13+'Balance Sheet NWC (Base)'!E14</f>
        <v>1111124</v>
      </c>
      <c r="F75" s="62">
        <f>'Balance Sheet NWC (Base)'!F12+'Balance Sheet NWC (Base)'!F13+'Balance Sheet NWC (Base)'!F14</f>
        <v>1148475</v>
      </c>
      <c r="G75" s="62">
        <f>'Balance Sheet NWC (Base)'!G12+'Balance Sheet NWC (Base)'!G13+'Balance Sheet NWC (Base)'!G14</f>
        <v>1147299</v>
      </c>
      <c r="H75" s="62">
        <f>'Balance Sheet NWC (Base)'!H12+'Balance Sheet NWC (Base)'!H13+'Balance Sheet NWC (Base)'!H14</f>
        <v>1159699</v>
      </c>
      <c r="I75" s="62">
        <f>'Balance Sheet NWC (Base)'!I12+'Balance Sheet NWC (Base)'!I13+'Balance Sheet NWC (Base)'!I14</f>
        <v>1169573</v>
      </c>
      <c r="J75" s="55">
        <f>I75-J106-J99</f>
        <v>1173392.0092998007</v>
      </c>
      <c r="K75" s="55">
        <f>J75</f>
        <v>1173392.0092998007</v>
      </c>
      <c r="L75" s="55">
        <f t="shared" ref="L75:R75" si="74">K75-L106-L99</f>
        <v>1158408.6556993758</v>
      </c>
      <c r="M75" s="55">
        <f t="shared" si="74"/>
        <v>1151473.6754107296</v>
      </c>
      <c r="N75" s="55">
        <f t="shared" si="74"/>
        <v>1151359.5450418086</v>
      </c>
      <c r="O75" s="55">
        <f t="shared" si="74"/>
        <v>1153689.6674673648</v>
      </c>
      <c r="P75" s="55">
        <f t="shared" si="74"/>
        <v>1157804.4844410336</v>
      </c>
      <c r="Q75" s="55">
        <f t="shared" si="74"/>
        <v>1159824.6405758704</v>
      </c>
      <c r="R75" s="55">
        <f t="shared" si="74"/>
        <v>1163267.2511991661</v>
      </c>
    </row>
    <row r="76" spans="2:19" x14ac:dyDescent="0.25">
      <c r="B76" s="34" t="s">
        <v>285</v>
      </c>
      <c r="C76" s="62">
        <f>'Balance Sheet NWC (Base)'!C15</f>
        <v>56173</v>
      </c>
      <c r="D76" s="62">
        <f>'Balance Sheet NWC (Base)'!D15</f>
        <v>49011</v>
      </c>
      <c r="E76" s="62">
        <f>'Balance Sheet NWC (Base)'!E15</f>
        <v>64780</v>
      </c>
      <c r="F76" s="62">
        <f>'Balance Sheet NWC (Base)'!F15</f>
        <v>65909</v>
      </c>
      <c r="G76" s="62">
        <f>'Balance Sheet NWC (Base)'!G15</f>
        <v>61076</v>
      </c>
      <c r="H76" s="62">
        <f>'Balance Sheet NWC (Base)'!H15</f>
        <v>61943</v>
      </c>
      <c r="I76" s="62">
        <f>'Balance Sheet NWC (Base)'!I15</f>
        <v>60878</v>
      </c>
      <c r="J76" s="55">
        <f>I76</f>
        <v>60878</v>
      </c>
      <c r="K76" s="55">
        <f>J76</f>
        <v>60878</v>
      </c>
      <c r="L76" s="55">
        <f>K76</f>
        <v>60878</v>
      </c>
      <c r="M76" s="55">
        <f t="shared" ref="M76:R76" si="75">L76</f>
        <v>60878</v>
      </c>
      <c r="N76" s="55">
        <f t="shared" si="75"/>
        <v>60878</v>
      </c>
      <c r="O76" s="55">
        <f t="shared" si="75"/>
        <v>60878</v>
      </c>
      <c r="P76" s="55">
        <f t="shared" si="75"/>
        <v>60878</v>
      </c>
      <c r="Q76" s="55">
        <f t="shared" si="75"/>
        <v>60878</v>
      </c>
      <c r="R76" s="55">
        <f t="shared" si="75"/>
        <v>60878</v>
      </c>
      <c r="S76" s="31" t="s">
        <v>326</v>
      </c>
    </row>
    <row r="77" spans="2:19" x14ac:dyDescent="0.25">
      <c r="B77" s="34" t="s">
        <v>286</v>
      </c>
      <c r="C77" s="62">
        <f>'Balance Sheet NWC (Base)'!C16</f>
        <v>4056</v>
      </c>
      <c r="D77" s="62">
        <f>'Balance Sheet NWC (Base)'!D16</f>
        <v>5885</v>
      </c>
      <c r="E77" s="62">
        <f>'Balance Sheet NWC (Base)'!E16</f>
        <v>9887</v>
      </c>
      <c r="F77" s="62">
        <f>'Balance Sheet NWC (Base)'!F16</f>
        <v>12237</v>
      </c>
      <c r="G77" s="62">
        <f>'Balance Sheet NWC (Base)'!G16</f>
        <v>14383</v>
      </c>
      <c r="H77" s="62">
        <f>'Balance Sheet NWC (Base)'!H16</f>
        <v>14839</v>
      </c>
      <c r="I77" s="62">
        <f>'Balance Sheet NWC (Base)'!I16</f>
        <v>24495</v>
      </c>
      <c r="J77" s="55">
        <f>I77-J100-J107</f>
        <v>27349.652811441694</v>
      </c>
      <c r="K77" s="55">
        <f>J77</f>
        <v>27349.652811441694</v>
      </c>
      <c r="L77" s="55">
        <f t="shared" ref="L77:R77" si="76">K77-L100-L107</f>
        <v>35789.773143703846</v>
      </c>
      <c r="M77" s="55">
        <f t="shared" si="76"/>
        <v>42797.345726505788</v>
      </c>
      <c r="N77" s="55">
        <f t="shared" si="76"/>
        <v>44868.79598697793</v>
      </c>
      <c r="O77" s="55">
        <f t="shared" si="76"/>
        <v>41658.127038535378</v>
      </c>
      <c r="P77" s="55">
        <f t="shared" si="76"/>
        <v>28811.97853434299</v>
      </c>
      <c r="Q77" s="55">
        <f t="shared" si="76"/>
        <v>19243.537191360512</v>
      </c>
      <c r="R77" s="55">
        <f t="shared" si="76"/>
        <v>8574.5918179525852</v>
      </c>
    </row>
    <row r="78" spans="2:19" x14ac:dyDescent="0.25">
      <c r="B78" s="38" t="s">
        <v>287</v>
      </c>
      <c r="C78" s="56">
        <f t="shared" ref="C78:L78" si="77">SUM(C73:C77)</f>
        <v>2095945</v>
      </c>
      <c r="D78" s="56">
        <f t="shared" si="77"/>
        <v>2102620</v>
      </c>
      <c r="E78" s="56">
        <f t="shared" si="77"/>
        <v>2329150</v>
      </c>
      <c r="F78" s="56">
        <f t="shared" si="77"/>
        <v>2124633</v>
      </c>
      <c r="G78" s="56">
        <f t="shared" si="77"/>
        <v>2109914</v>
      </c>
      <c r="H78" s="56">
        <f t="shared" si="77"/>
        <v>2128793</v>
      </c>
      <c r="I78" s="56">
        <f t="shared" si="77"/>
        <v>2090617</v>
      </c>
      <c r="J78" s="56">
        <f t="shared" si="77"/>
        <v>2130870.763797462</v>
      </c>
      <c r="K78" s="56">
        <f t="shared" si="77"/>
        <v>2130870.763797462</v>
      </c>
      <c r="L78" s="56">
        <f t="shared" si="77"/>
        <v>2152061.2781528342</v>
      </c>
      <c r="M78" s="56">
        <f t="shared" ref="M78:R78" si="78">SUM(M73:M77)</f>
        <v>2104848.868838063</v>
      </c>
      <c r="N78" s="56">
        <f t="shared" si="78"/>
        <v>2070106.580100988</v>
      </c>
      <c r="O78" s="56">
        <f t="shared" si="78"/>
        <v>2070437.1692645962</v>
      </c>
      <c r="P78" s="56">
        <f t="shared" si="78"/>
        <v>2074932.9990490868</v>
      </c>
      <c r="Q78" s="56">
        <f t="shared" si="78"/>
        <v>2098581.4482891639</v>
      </c>
      <c r="R78" s="56">
        <f t="shared" si="78"/>
        <v>2129135.7432623431</v>
      </c>
    </row>
    <row r="79" spans="2:19" x14ac:dyDescent="0.25">
      <c r="C79" s="46"/>
      <c r="D79" s="46"/>
      <c r="E79" s="46"/>
      <c r="F79" s="46"/>
      <c r="G79" s="46"/>
      <c r="H79" s="46"/>
      <c r="I79" s="46"/>
      <c r="J79" s="57"/>
      <c r="K79" s="57"/>
      <c r="L79" s="57"/>
      <c r="M79" s="57"/>
      <c r="N79" s="57"/>
      <c r="O79" s="57"/>
      <c r="P79" s="57"/>
      <c r="Q79" s="57"/>
      <c r="R79" s="57"/>
    </row>
    <row r="80" spans="2:19" x14ac:dyDescent="0.25">
      <c r="B80" s="39" t="s">
        <v>288</v>
      </c>
      <c r="C80" s="46"/>
      <c r="D80" s="46"/>
      <c r="E80" s="46"/>
      <c r="F80" s="46"/>
      <c r="G80" s="46"/>
      <c r="H80" s="46"/>
      <c r="I80" s="46"/>
      <c r="J80" s="57"/>
      <c r="K80" s="57"/>
      <c r="L80" s="57"/>
      <c r="M80" s="57"/>
      <c r="N80" s="57"/>
      <c r="O80" s="57"/>
      <c r="P80" s="57"/>
      <c r="Q80" s="57"/>
      <c r="R80" s="57"/>
    </row>
    <row r="81" spans="2:20" x14ac:dyDescent="0.25">
      <c r="B81" s="34" t="s">
        <v>314</v>
      </c>
      <c r="C81" s="43">
        <v>174200</v>
      </c>
      <c r="D81" s="43">
        <v>204200</v>
      </c>
      <c r="E81" s="43">
        <v>205300</v>
      </c>
      <c r="F81" s="43">
        <v>40300</v>
      </c>
      <c r="G81" s="43">
        <v>125300</v>
      </c>
      <c r="H81" s="43">
        <v>176300</v>
      </c>
      <c r="I81" s="43">
        <v>81300</v>
      </c>
      <c r="J81" s="55">
        <f>I81+J111</f>
        <v>102530.87156891605</v>
      </c>
      <c r="K81" s="55">
        <f>J81</f>
        <v>102530.87156891605</v>
      </c>
      <c r="L81" s="55">
        <f t="shared" ref="L81:R81" si="79">K81+L111</f>
        <v>101954.47231455846</v>
      </c>
      <c r="M81" s="55">
        <f t="shared" si="79"/>
        <v>101813.47654070369</v>
      </c>
      <c r="N81" s="55">
        <f t="shared" si="79"/>
        <v>90010.596420649512</v>
      </c>
      <c r="O81" s="55">
        <f t="shared" si="79"/>
        <v>94478.002844846022</v>
      </c>
      <c r="P81" s="55">
        <f t="shared" si="79"/>
        <v>94900.320503794661</v>
      </c>
      <c r="Q81" s="55">
        <f t="shared" si="79"/>
        <v>110593.59276937321</v>
      </c>
      <c r="R81" s="55">
        <f t="shared" si="79"/>
        <v>116930.89802575581</v>
      </c>
    </row>
    <row r="82" spans="2:20" x14ac:dyDescent="0.25">
      <c r="B82" s="34" t="s">
        <v>370</v>
      </c>
      <c r="C82" s="43">
        <f>'Balance Sheet NWC (Base)'!C20</f>
        <v>122248</v>
      </c>
      <c r="D82" s="43">
        <f>'Balance Sheet NWC (Base)'!D20</f>
        <v>202433</v>
      </c>
      <c r="E82" s="43">
        <f>'Balance Sheet NWC (Base)'!E20</f>
        <v>325680</v>
      </c>
      <c r="F82" s="43">
        <f>'Balance Sheet NWC (Base)'!F20</f>
        <v>229935</v>
      </c>
      <c r="G82" s="43">
        <f>'Balance Sheet NWC (Base)'!G20</f>
        <v>244048</v>
      </c>
      <c r="H82" s="43">
        <f>'Balance Sheet NWC (Base)'!H20</f>
        <v>257829</v>
      </c>
      <c r="I82" s="43">
        <f>'Balance Sheet NWC (Base)'!I20</f>
        <v>206335</v>
      </c>
      <c r="J82" s="55">
        <f>I82</f>
        <v>206335</v>
      </c>
      <c r="K82" s="55">
        <f>J82</f>
        <v>206335</v>
      </c>
      <c r="L82" s="55">
        <f t="shared" ref="L82" si="80">K82</f>
        <v>206335</v>
      </c>
      <c r="M82" s="55">
        <f t="shared" ref="M82" si="81">L82</f>
        <v>206335</v>
      </c>
      <c r="N82" s="55">
        <f t="shared" ref="N82" si="82">M82</f>
        <v>206335</v>
      </c>
      <c r="O82" s="55">
        <f t="shared" ref="O82" si="83">N82</f>
        <v>206335</v>
      </c>
      <c r="P82" s="55">
        <f t="shared" ref="P82" si="84">O82</f>
        <v>206335</v>
      </c>
      <c r="Q82" s="55">
        <f t="shared" ref="Q82" si="85">P82</f>
        <v>206335</v>
      </c>
      <c r="R82" s="55">
        <f t="shared" ref="R82" si="86">Q82</f>
        <v>206335</v>
      </c>
      <c r="S82" s="31" t="s">
        <v>326</v>
      </c>
    </row>
    <row r="83" spans="2:20" x14ac:dyDescent="0.25">
      <c r="B83" s="34" t="s">
        <v>310</v>
      </c>
      <c r="C83" s="43">
        <f>'Balance Sheet NWC (Base)'!C25-C81</f>
        <v>322818</v>
      </c>
      <c r="D83" s="43">
        <f>'Balance Sheet NWC (Base)'!D25-D81</f>
        <v>379416</v>
      </c>
      <c r="E83" s="43">
        <f>'Balance Sheet NWC (Base)'!E25-E81</f>
        <v>263612</v>
      </c>
      <c r="F83" s="43">
        <f>'Balance Sheet NWC (Base)'!F25-F81</f>
        <v>184091</v>
      </c>
      <c r="G83" s="43">
        <f>'Balance Sheet NWC (Base)'!G25-G81</f>
        <v>169130</v>
      </c>
      <c r="H83" s="43">
        <f>'Balance Sheet NWC (Base)'!H25-H81</f>
        <v>118174</v>
      </c>
      <c r="I83" s="43">
        <f>'Balance Sheet NWC (Base)'!I25-I81</f>
        <v>218512</v>
      </c>
      <c r="J83" s="43">
        <f>I83/1.0025</f>
        <v>217967.08229426434</v>
      </c>
      <c r="K83" s="55">
        <f>J83</f>
        <v>217967.08229426434</v>
      </c>
      <c r="L83" s="43">
        <f>K83/1.01</f>
        <v>215808.99237055876</v>
      </c>
      <c r="M83" s="43">
        <f t="shared" ref="M83:R83" si="87">L83/1.01</f>
        <v>213672.26967382056</v>
      </c>
      <c r="N83" s="43">
        <f t="shared" si="87"/>
        <v>211556.70264734709</v>
      </c>
      <c r="O83" s="43">
        <f t="shared" si="87"/>
        <v>209462.08182905652</v>
      </c>
      <c r="P83" s="43">
        <f t="shared" si="87"/>
        <v>207388.19983074904</v>
      </c>
      <c r="Q83" s="43">
        <f t="shared" si="87"/>
        <v>205334.85131757331</v>
      </c>
      <c r="R83" s="43">
        <f t="shared" si="87"/>
        <v>203301.83298769634</v>
      </c>
      <c r="S83" s="31" t="s">
        <v>348</v>
      </c>
    </row>
    <row r="84" spans="2:20" x14ac:dyDescent="0.25">
      <c r="B84" s="34" t="s">
        <v>289</v>
      </c>
      <c r="C84" s="43">
        <f>'Balance Sheet NWC (Base)'!C26</f>
        <v>34379</v>
      </c>
      <c r="D84" s="43">
        <f>'Balance Sheet NWC (Base)'!D26</f>
        <v>36429</v>
      </c>
      <c r="E84" s="43">
        <f>'Balance Sheet NWC (Base)'!E26</f>
        <v>47616</v>
      </c>
      <c r="F84" s="43">
        <f>'Balance Sheet NWC (Base)'!F26</f>
        <v>45924</v>
      </c>
      <c r="G84" s="43">
        <f>'Balance Sheet NWC (Base)'!G26</f>
        <v>41410</v>
      </c>
      <c r="H84" s="43">
        <f>'Balance Sheet NWC (Base)'!H26</f>
        <v>41230</v>
      </c>
      <c r="I84" s="43">
        <f>'Balance Sheet NWC (Base)'!I26</f>
        <v>39532</v>
      </c>
      <c r="J84" s="55">
        <f>I84</f>
        <v>39532</v>
      </c>
      <c r="K84" s="55">
        <f>J84</f>
        <v>39532</v>
      </c>
      <c r="L84" s="55">
        <f t="shared" ref="L84:R85" si="88">K84</f>
        <v>39532</v>
      </c>
      <c r="M84" s="55">
        <f t="shared" si="88"/>
        <v>39532</v>
      </c>
      <c r="N84" s="55">
        <f t="shared" si="88"/>
        <v>39532</v>
      </c>
      <c r="O84" s="55">
        <f t="shared" si="88"/>
        <v>39532</v>
      </c>
      <c r="P84" s="55">
        <f t="shared" si="88"/>
        <v>39532</v>
      </c>
      <c r="Q84" s="55">
        <f t="shared" si="88"/>
        <v>39532</v>
      </c>
      <c r="R84" s="55">
        <f t="shared" si="88"/>
        <v>39532</v>
      </c>
      <c r="S84" s="31" t="s">
        <v>326</v>
      </c>
    </row>
    <row r="85" spans="2:20" x14ac:dyDescent="0.25">
      <c r="B85" s="34" t="s">
        <v>290</v>
      </c>
      <c r="C85" s="43">
        <f>'Balance Sheet NWC (Base)'!C27+'Balance Sheet NWC (Base)'!C28</f>
        <v>121727</v>
      </c>
      <c r="D85" s="43">
        <f>'Balance Sheet NWC (Base)'!D27+'Balance Sheet NWC (Base)'!D28</f>
        <v>118270</v>
      </c>
      <c r="E85" s="43">
        <f>'Balance Sheet NWC (Base)'!E27+'Balance Sheet NWC (Base)'!E28</f>
        <v>124659</v>
      </c>
      <c r="F85" s="43">
        <f>'Balance Sheet NWC (Base)'!F27+'Balance Sheet NWC (Base)'!F28</f>
        <v>131801</v>
      </c>
      <c r="G85" s="43">
        <f>'Balance Sheet NWC (Base)'!G27+'Balance Sheet NWC (Base)'!G28</f>
        <v>131801</v>
      </c>
      <c r="H85" s="43">
        <f>'Balance Sheet NWC (Base)'!H27+'Balance Sheet NWC (Base)'!H28</f>
        <v>131761</v>
      </c>
      <c r="I85" s="43">
        <f>'Balance Sheet NWC (Base)'!I27+'Balance Sheet NWC (Base)'!I28</f>
        <v>130729</v>
      </c>
      <c r="J85" s="55">
        <f>I85</f>
        <v>130729</v>
      </c>
      <c r="K85" s="55">
        <f>J85</f>
        <v>130729</v>
      </c>
      <c r="L85" s="55">
        <f t="shared" si="88"/>
        <v>130729</v>
      </c>
      <c r="M85" s="55">
        <f t="shared" si="88"/>
        <v>130729</v>
      </c>
      <c r="N85" s="55">
        <f t="shared" si="88"/>
        <v>130729</v>
      </c>
      <c r="O85" s="55">
        <f t="shared" si="88"/>
        <v>130729</v>
      </c>
      <c r="P85" s="55">
        <f t="shared" si="88"/>
        <v>130729</v>
      </c>
      <c r="Q85" s="55">
        <f t="shared" si="88"/>
        <v>130729</v>
      </c>
      <c r="R85" s="55">
        <f t="shared" si="88"/>
        <v>130729</v>
      </c>
      <c r="S85" s="31" t="s">
        <v>326</v>
      </c>
    </row>
    <row r="86" spans="2:20" x14ac:dyDescent="0.25">
      <c r="B86" s="38" t="s">
        <v>291</v>
      </c>
      <c r="C86" s="45">
        <f t="shared" ref="C86:R86" si="89">SUM(C81:C85)</f>
        <v>775372</v>
      </c>
      <c r="D86" s="45">
        <f t="shared" si="89"/>
        <v>940748</v>
      </c>
      <c r="E86" s="45">
        <f t="shared" si="89"/>
        <v>966867</v>
      </c>
      <c r="F86" s="45">
        <f t="shared" si="89"/>
        <v>632051</v>
      </c>
      <c r="G86" s="45">
        <f t="shared" si="89"/>
        <v>711689</v>
      </c>
      <c r="H86" s="45">
        <f t="shared" si="89"/>
        <v>725294</v>
      </c>
      <c r="I86" s="45">
        <f t="shared" si="89"/>
        <v>676408</v>
      </c>
      <c r="J86" s="45">
        <f t="shared" si="89"/>
        <v>697093.95386318036</v>
      </c>
      <c r="K86" s="45">
        <f t="shared" si="89"/>
        <v>697093.95386318036</v>
      </c>
      <c r="L86" s="45">
        <f t="shared" si="89"/>
        <v>694359.46468511724</v>
      </c>
      <c r="M86" s="45">
        <f t="shared" si="89"/>
        <v>692081.74621452426</v>
      </c>
      <c r="N86" s="45">
        <f t="shared" si="89"/>
        <v>678163.29906799656</v>
      </c>
      <c r="O86" s="45">
        <f t="shared" si="89"/>
        <v>680536.08467390249</v>
      </c>
      <c r="P86" s="45">
        <f t="shared" si="89"/>
        <v>678884.52033454366</v>
      </c>
      <c r="Q86" s="45">
        <f t="shared" si="89"/>
        <v>692524.44408694655</v>
      </c>
      <c r="R86" s="45">
        <f t="shared" si="89"/>
        <v>696828.73101345217</v>
      </c>
    </row>
    <row r="87" spans="2:20" x14ac:dyDescent="0.25">
      <c r="C87" s="46"/>
      <c r="D87" s="46"/>
      <c r="E87" s="46"/>
      <c r="F87" s="46"/>
      <c r="G87" s="46"/>
      <c r="H87" s="46"/>
      <c r="I87" s="121"/>
      <c r="J87" s="46"/>
      <c r="K87" s="46"/>
      <c r="L87" s="46"/>
      <c r="M87" s="46"/>
      <c r="N87" s="46"/>
      <c r="O87" s="46"/>
      <c r="P87" s="46"/>
      <c r="Q87" s="46"/>
      <c r="R87" s="46"/>
    </row>
    <row r="88" spans="2:20" x14ac:dyDescent="0.25">
      <c r="B88" s="34" t="s">
        <v>292</v>
      </c>
      <c r="C88" s="43">
        <f>'Balance Sheet NWC (Base)'!C40</f>
        <v>1314945</v>
      </c>
      <c r="D88" s="43">
        <f>'Balance Sheet NWC (Base)'!D40</f>
        <v>1150871</v>
      </c>
      <c r="E88" s="43">
        <f>'Balance Sheet NWC (Base)'!E40</f>
        <v>1350434</v>
      </c>
      <c r="F88" s="43">
        <f>'Balance Sheet NWC (Base)'!F40</f>
        <v>1479164</v>
      </c>
      <c r="G88" s="43">
        <f>'Balance Sheet NWC (Base)'!G40</f>
        <v>1385073</v>
      </c>
      <c r="H88" s="43">
        <f>'Balance Sheet NWC (Base)'!H40</f>
        <v>1390509</v>
      </c>
      <c r="I88" s="43">
        <f>'Balance Sheet NWC (Base)'!I40</f>
        <v>1401616</v>
      </c>
      <c r="J88" s="44">
        <f>I88+J98+J113+J114+J116+J119-J66</f>
        <v>1421471.6554217944</v>
      </c>
      <c r="K88" s="44">
        <f>J88</f>
        <v>1421471.6554217944</v>
      </c>
      <c r="L88" s="44">
        <f t="shared" ref="L88:R88" si="90">K88+L98+L113+L114+L116+L119-L66</f>
        <v>1445219.8808134103</v>
      </c>
      <c r="M88" s="44">
        <f t="shared" si="90"/>
        <v>1400168.4806643086</v>
      </c>
      <c r="N88" s="44">
        <f t="shared" si="90"/>
        <v>1379404.3400051319</v>
      </c>
      <c r="O88" s="44">
        <f t="shared" si="90"/>
        <v>1377537.7208718529</v>
      </c>
      <c r="P88" s="44">
        <f t="shared" si="90"/>
        <v>1383897.156242694</v>
      </c>
      <c r="Q88" s="44">
        <f t="shared" si="90"/>
        <v>1393922.0215115622</v>
      </c>
      <c r="R88" s="44">
        <f t="shared" si="90"/>
        <v>1420246.5479027608</v>
      </c>
      <c r="S88" s="53"/>
      <c r="T88" s="54"/>
    </row>
    <row r="89" spans="2:20" x14ac:dyDescent="0.25">
      <c r="B89" s="34" t="s">
        <v>293</v>
      </c>
      <c r="C89" s="43">
        <f>'Balance Sheet NWC (Base)'!C41</f>
        <v>5628</v>
      </c>
      <c r="D89" s="43">
        <f>'Balance Sheet NWC (Base)'!D41</f>
        <v>11001</v>
      </c>
      <c r="E89" s="43">
        <f>'Balance Sheet NWC (Base)'!E41</f>
        <v>11849</v>
      </c>
      <c r="F89" s="43">
        <f>'Balance Sheet NWC (Base)'!F41</f>
        <v>13418</v>
      </c>
      <c r="G89" s="43">
        <f>'Balance Sheet NWC (Base)'!G41</f>
        <v>13152</v>
      </c>
      <c r="H89" s="43">
        <f>'Balance Sheet NWC (Base)'!H41</f>
        <v>12990</v>
      </c>
      <c r="I89" s="43">
        <f>'Balance Sheet NWC (Base)'!I41</f>
        <v>12593</v>
      </c>
      <c r="J89" s="44">
        <f>I89+J66+J115</f>
        <v>12305.154512487623</v>
      </c>
      <c r="K89" s="44">
        <f t="shared" ref="K89" si="91">J89</f>
        <v>12305.154512487623</v>
      </c>
      <c r="L89" s="44">
        <f t="shared" ref="L89:R89" si="92">K89+L66+L115</f>
        <v>12481.932654306573</v>
      </c>
      <c r="M89" s="44">
        <f t="shared" si="92"/>
        <v>12598.641959229904</v>
      </c>
      <c r="N89" s="44">
        <f t="shared" si="92"/>
        <v>12538.941027859191</v>
      </c>
      <c r="O89" s="44">
        <f t="shared" si="92"/>
        <v>12363.363718839773</v>
      </c>
      <c r="P89" s="44">
        <f t="shared" si="92"/>
        <v>12151.322471848105</v>
      </c>
      <c r="Q89" s="44">
        <f t="shared" si="92"/>
        <v>12134.982690654031</v>
      </c>
      <c r="R89" s="44">
        <f t="shared" si="92"/>
        <v>12060.4643461294</v>
      </c>
    </row>
    <row r="90" spans="2:20" x14ac:dyDescent="0.25">
      <c r="B90" s="38" t="s">
        <v>294</v>
      </c>
      <c r="C90" s="45">
        <f>SUM(C88:C89)</f>
        <v>1320573</v>
      </c>
      <c r="D90" s="45">
        <f>SUM(D88:D89)</f>
        <v>1161872</v>
      </c>
      <c r="E90" s="45">
        <f>SUM(E88:E89)</f>
        <v>1362283</v>
      </c>
      <c r="F90" s="45">
        <f>SUM(F88:F89)</f>
        <v>1492582</v>
      </c>
      <c r="G90" s="45">
        <f t="shared" ref="G90:R90" si="93">SUM(G88:G89)</f>
        <v>1398225</v>
      </c>
      <c r="H90" s="45">
        <f t="shared" si="93"/>
        <v>1403499</v>
      </c>
      <c r="I90" s="45">
        <f t="shared" si="93"/>
        <v>1414209</v>
      </c>
      <c r="J90" s="45">
        <f t="shared" si="93"/>
        <v>1433776.809934282</v>
      </c>
      <c r="K90" s="45">
        <f t="shared" si="93"/>
        <v>1433776.809934282</v>
      </c>
      <c r="L90" s="45">
        <f t="shared" si="93"/>
        <v>1457701.8134677168</v>
      </c>
      <c r="M90" s="45">
        <f t="shared" si="93"/>
        <v>1412767.1226235386</v>
      </c>
      <c r="N90" s="45">
        <f t="shared" si="93"/>
        <v>1391943.2810329911</v>
      </c>
      <c r="O90" s="45">
        <f t="shared" si="93"/>
        <v>1389901.0845906928</v>
      </c>
      <c r="P90" s="45">
        <f t="shared" si="93"/>
        <v>1396048.478714542</v>
      </c>
      <c r="Q90" s="45">
        <f t="shared" si="93"/>
        <v>1406057.0042022162</v>
      </c>
      <c r="R90" s="45">
        <f t="shared" si="93"/>
        <v>1432307.0122488902</v>
      </c>
    </row>
    <row r="91" spans="2:20" x14ac:dyDescent="0.25">
      <c r="C91" s="46"/>
      <c r="D91" s="46"/>
      <c r="E91" s="46"/>
      <c r="F91" s="46"/>
      <c r="G91" s="46"/>
      <c r="H91" s="46"/>
      <c r="I91" s="46"/>
      <c r="J91" s="49"/>
      <c r="K91" s="46"/>
      <c r="L91" s="46"/>
      <c r="M91" s="46"/>
      <c r="N91" s="46"/>
      <c r="O91" s="46"/>
      <c r="P91" s="46"/>
      <c r="Q91" s="46"/>
      <c r="R91" s="46"/>
    </row>
    <row r="92" spans="2:20" x14ac:dyDescent="0.25">
      <c r="B92" s="39" t="s">
        <v>295</v>
      </c>
      <c r="C92" s="47">
        <f>C86+C90</f>
        <v>2095945</v>
      </c>
      <c r="D92" s="47">
        <f>D86+D90</f>
        <v>2102620</v>
      </c>
      <c r="E92" s="47">
        <f>E86+E90</f>
        <v>2329150</v>
      </c>
      <c r="F92" s="47">
        <f>F86+F90</f>
        <v>2124633</v>
      </c>
      <c r="G92" s="47">
        <f t="shared" ref="G92:R92" si="94">G86+G90</f>
        <v>2109914</v>
      </c>
      <c r="H92" s="47">
        <f t="shared" si="94"/>
        <v>2128793</v>
      </c>
      <c r="I92" s="47">
        <f t="shared" si="94"/>
        <v>2090617</v>
      </c>
      <c r="J92" s="47">
        <f t="shared" si="94"/>
        <v>2130870.7637974625</v>
      </c>
      <c r="K92" s="47">
        <f t="shared" si="94"/>
        <v>2130870.7637974625</v>
      </c>
      <c r="L92" s="47">
        <f t="shared" si="94"/>
        <v>2152061.2781528342</v>
      </c>
      <c r="M92" s="47">
        <f t="shared" si="94"/>
        <v>2104848.868838063</v>
      </c>
      <c r="N92" s="47">
        <f t="shared" si="94"/>
        <v>2070106.5801009876</v>
      </c>
      <c r="O92" s="47">
        <f t="shared" si="94"/>
        <v>2070437.1692645953</v>
      </c>
      <c r="P92" s="47">
        <f t="shared" si="94"/>
        <v>2074932.9990490857</v>
      </c>
      <c r="Q92" s="47">
        <f t="shared" si="94"/>
        <v>2098581.4482891625</v>
      </c>
      <c r="R92" s="47">
        <f t="shared" si="94"/>
        <v>2129135.7432623422</v>
      </c>
    </row>
    <row r="93" spans="2:20" x14ac:dyDescent="0.25">
      <c r="C93" s="46"/>
      <c r="D93" s="46"/>
      <c r="E93" s="46"/>
      <c r="F93" s="46"/>
      <c r="G93" s="46"/>
      <c r="H93" s="46"/>
      <c r="I93" s="46"/>
      <c r="J93" s="46"/>
      <c r="K93" s="46"/>
    </row>
    <row r="94" spans="2:20" x14ac:dyDescent="0.25">
      <c r="B94" s="32" t="s">
        <v>296</v>
      </c>
      <c r="C94" s="44">
        <f t="shared" ref="C94:R94" si="95">C78-C92</f>
        <v>0</v>
      </c>
      <c r="D94" s="44">
        <f t="shared" si="95"/>
        <v>0</v>
      </c>
      <c r="E94" s="44">
        <f t="shared" si="95"/>
        <v>0</v>
      </c>
      <c r="F94" s="44">
        <f t="shared" si="95"/>
        <v>0</v>
      </c>
      <c r="G94" s="44">
        <f t="shared" si="95"/>
        <v>0</v>
      </c>
      <c r="H94" s="44">
        <f t="shared" si="95"/>
        <v>0</v>
      </c>
      <c r="I94" s="44">
        <f t="shared" si="95"/>
        <v>0</v>
      </c>
      <c r="J94" s="44">
        <f t="shared" si="95"/>
        <v>0</v>
      </c>
      <c r="K94" s="44">
        <f t="shared" si="95"/>
        <v>0</v>
      </c>
      <c r="L94" s="44">
        <f t="shared" si="95"/>
        <v>0</v>
      </c>
      <c r="M94" s="44">
        <f t="shared" si="95"/>
        <v>0</v>
      </c>
      <c r="N94" s="44">
        <f t="shared" si="95"/>
        <v>0</v>
      </c>
      <c r="O94" s="44">
        <f t="shared" si="95"/>
        <v>0</v>
      </c>
      <c r="P94" s="44">
        <f t="shared" si="95"/>
        <v>0</v>
      </c>
      <c r="Q94" s="44">
        <f t="shared" si="95"/>
        <v>0</v>
      </c>
      <c r="R94" s="44">
        <f t="shared" si="95"/>
        <v>0</v>
      </c>
    </row>
    <row r="95" spans="2:20" x14ac:dyDescent="0.25">
      <c r="C95" s="46"/>
      <c r="D95" s="46"/>
      <c r="E95" s="46"/>
      <c r="F95" s="46"/>
      <c r="G95" s="46"/>
      <c r="H95" s="46"/>
      <c r="I95" s="46"/>
      <c r="J95" s="46"/>
      <c r="K95" s="46"/>
    </row>
    <row r="96" spans="2:20" x14ac:dyDescent="0.25">
      <c r="B96" s="29" t="s">
        <v>248</v>
      </c>
      <c r="C96" s="30">
        <f>C$2</f>
        <v>44196</v>
      </c>
      <c r="D96" s="30">
        <f t="shared" ref="D96:R96" si="96">D$2</f>
        <v>44561</v>
      </c>
      <c r="E96" s="30">
        <f t="shared" si="96"/>
        <v>44926</v>
      </c>
      <c r="F96" s="30">
        <f t="shared" si="96"/>
        <v>45291</v>
      </c>
      <c r="G96" s="48" t="str">
        <f t="shared" si="96"/>
        <v>Q1-24</v>
      </c>
      <c r="H96" s="48" t="str">
        <f t="shared" si="96"/>
        <v>Q2-24</v>
      </c>
      <c r="I96" s="48" t="str">
        <f t="shared" si="96"/>
        <v>Q3-24</v>
      </c>
      <c r="J96" s="48" t="str">
        <f t="shared" si="96"/>
        <v>Q4-24</v>
      </c>
      <c r="K96" s="30">
        <f t="shared" si="96"/>
        <v>45657</v>
      </c>
      <c r="L96" s="30">
        <f t="shared" si="96"/>
        <v>46022</v>
      </c>
      <c r="M96" s="30">
        <f t="shared" si="96"/>
        <v>46387</v>
      </c>
      <c r="N96" s="30">
        <f t="shared" si="96"/>
        <v>46752</v>
      </c>
      <c r="O96" s="30">
        <f t="shared" si="96"/>
        <v>47118</v>
      </c>
      <c r="P96" s="30">
        <f t="shared" si="96"/>
        <v>47483</v>
      </c>
      <c r="Q96" s="30">
        <f t="shared" si="96"/>
        <v>47848</v>
      </c>
      <c r="R96" s="30">
        <f t="shared" si="96"/>
        <v>48213</v>
      </c>
    </row>
    <row r="97" spans="2:19" x14ac:dyDescent="0.25">
      <c r="B97" s="39" t="s">
        <v>249</v>
      </c>
      <c r="C97" s="46"/>
      <c r="D97" s="46"/>
      <c r="E97" s="46"/>
      <c r="F97" s="46"/>
      <c r="G97" s="46"/>
      <c r="H97" s="46"/>
      <c r="I97" s="46"/>
      <c r="J97" s="46"/>
      <c r="K97" s="46"/>
    </row>
    <row r="98" spans="2:19" x14ac:dyDescent="0.25">
      <c r="B98" s="40" t="s">
        <v>250</v>
      </c>
      <c r="C98" s="44">
        <f t="shared" ref="C98:I98" si="97">C65</f>
        <v>251758</v>
      </c>
      <c r="D98" s="44">
        <f t="shared" si="97"/>
        <v>217937</v>
      </c>
      <c r="E98" s="44">
        <f t="shared" si="97"/>
        <v>340482</v>
      </c>
      <c r="F98" s="44">
        <f t="shared" si="97"/>
        <v>343107</v>
      </c>
      <c r="G98" s="44">
        <f t="shared" si="97"/>
        <v>69128</v>
      </c>
      <c r="H98" s="44">
        <f t="shared" si="97"/>
        <v>61565</v>
      </c>
      <c r="I98" s="44">
        <f t="shared" si="97"/>
        <v>71312</v>
      </c>
      <c r="J98" s="44">
        <f>J65</f>
        <v>64913.143575368027</v>
      </c>
      <c r="K98" s="44">
        <f t="shared" ref="K98:K102" si="98">SUM(G98:J98)</f>
        <v>266918.14357536804</v>
      </c>
      <c r="L98" s="44">
        <f t="shared" ref="L98:R98" si="99">L65</f>
        <v>195976.9706263917</v>
      </c>
      <c r="M98" s="44">
        <f t="shared" si="99"/>
        <v>203601.8634619693</v>
      </c>
      <c r="N98" s="44">
        <f t="shared" si="99"/>
        <v>231974.85851135643</v>
      </c>
      <c r="O98" s="44">
        <f t="shared" si="99"/>
        <v>244651.27605577654</v>
      </c>
      <c r="P98" s="44">
        <f t="shared" si="99"/>
        <v>269173.3386627388</v>
      </c>
      <c r="Q98" s="44">
        <f t="shared" si="99"/>
        <v>284155.84745500487</v>
      </c>
      <c r="R98" s="44">
        <f t="shared" si="99"/>
        <v>298777.87362476019</v>
      </c>
    </row>
    <row r="99" spans="2:19" x14ac:dyDescent="0.25">
      <c r="B99" s="41" t="s">
        <v>251</v>
      </c>
      <c r="C99" s="43">
        <f>'Cash Flows'!C8+'Cash Flows'!C9</f>
        <v>69079</v>
      </c>
      <c r="D99" s="43">
        <f>'Cash Flows'!D8+'Cash Flows'!D9</f>
        <v>68846</v>
      </c>
      <c r="E99" s="43">
        <f>'Cash Flows'!E8+'Cash Flows'!E9</f>
        <v>70376</v>
      </c>
      <c r="F99" s="43">
        <f>'Cash Flows'!F8+'Cash Flows'!F9</f>
        <v>75129</v>
      </c>
      <c r="G99" s="43">
        <f>'Cash Flows'!G8+'Cash Flows'!G9</f>
        <v>19782</v>
      </c>
      <c r="H99" s="43">
        <f>'Cash Flows'!H8+'Cash Flows'!H9</f>
        <v>21293</v>
      </c>
      <c r="I99" s="43">
        <f>'Cash Flows'!I8+'Cash Flows'!I9</f>
        <v>20650</v>
      </c>
      <c r="J99" s="44">
        <f>J49*J27</f>
        <v>20499.369202312431</v>
      </c>
      <c r="K99" s="44">
        <f t="shared" si="98"/>
        <v>82224.369202312431</v>
      </c>
      <c r="L99" s="44">
        <f t="shared" ref="L99:R99" si="100">L49*L27</f>
        <v>74183.921100748557</v>
      </c>
      <c r="M99" s="44">
        <f t="shared" si="100"/>
        <v>71112.584254158763</v>
      </c>
      <c r="N99" s="44">
        <f t="shared" si="100"/>
        <v>70386.980010047322</v>
      </c>
      <c r="O99" s="44">
        <f t="shared" si="100"/>
        <v>72461.865471062076</v>
      </c>
      <c r="P99" s="44">
        <f t="shared" si="100"/>
        <v>75699.673643804257</v>
      </c>
      <c r="Q99" s="44">
        <f t="shared" si="100"/>
        <v>77747.803620940351</v>
      </c>
      <c r="R99" s="44">
        <f t="shared" si="100"/>
        <v>81203.755406470751</v>
      </c>
    </row>
    <row r="100" spans="2:19" x14ac:dyDescent="0.25">
      <c r="B100" s="41" t="s">
        <v>260</v>
      </c>
      <c r="C100" s="43">
        <f>SUM('Cash Flows'!C11:C13,'Cash Flows'!C16:C19)</f>
        <v>36461</v>
      </c>
      <c r="D100" s="43">
        <f>SUM('Cash Flows'!D11:D13,'Cash Flows'!D16:D19)</f>
        <v>12854</v>
      </c>
      <c r="E100" s="43">
        <f>SUM('Cash Flows'!E11:E13,'Cash Flows'!E16:E19)</f>
        <v>29741</v>
      </c>
      <c r="F100" s="43">
        <f>SUM('Cash Flows'!F11:F13,'Cash Flows'!F16:F19)</f>
        <v>36272</v>
      </c>
      <c r="G100" s="43">
        <f>SUM('Cash Flows'!G11:G13,'Cash Flows'!G16:G19)</f>
        <v>5609</v>
      </c>
      <c r="H100" s="43">
        <f>SUM('Cash Flows'!H11:H13,'Cash Flows'!H16:H19)</f>
        <v>1013</v>
      </c>
      <c r="I100" s="43">
        <f>SUM('Cash Flows'!I11:I13,'Cash Flows'!I16:I19)</f>
        <v>-5304</v>
      </c>
      <c r="J100" s="44">
        <f>J49*J29</f>
        <v>490.95234928381001</v>
      </c>
      <c r="K100" s="44">
        <f t="shared" si="98"/>
        <v>1808.95234928381</v>
      </c>
      <c r="L100" s="44">
        <f t="shared" ref="L100:R100" si="101">L49*L29</f>
        <v>3600.9202729911981</v>
      </c>
      <c r="M100" s="44">
        <f t="shared" si="101"/>
        <v>6503.9510118326853</v>
      </c>
      <c r="N100" s="44">
        <f t="shared" si="101"/>
        <v>9365.6493529652234</v>
      </c>
      <c r="O100" s="44">
        <f t="shared" si="101"/>
        <v>10766.113571945971</v>
      </c>
      <c r="P100" s="44">
        <f t="shared" si="101"/>
        <v>18460.590921693936</v>
      </c>
      <c r="Q100" s="44">
        <f t="shared" si="101"/>
        <v>20335.903214149126</v>
      </c>
      <c r="R100" s="44">
        <f t="shared" si="101"/>
        <v>21523.93030543327</v>
      </c>
    </row>
    <row r="101" spans="2:19" x14ac:dyDescent="0.25">
      <c r="B101" s="41" t="s">
        <v>340</v>
      </c>
      <c r="C101" s="43">
        <f>'Cash Flows'!C14+'Cash Flows'!C21+'Cash Flows'!C22+'Cash Flows'!C23+'Cash Flows'!C25+'Cash Flows'!C26</f>
        <v>38929</v>
      </c>
      <c r="D101" s="43">
        <f>'Cash Flows'!D14+'Cash Flows'!D21+'Cash Flows'!D22+'Cash Flows'!D23+'Cash Flows'!D25+'Cash Flows'!D26</f>
        <v>-76776</v>
      </c>
      <c r="E101" s="43">
        <f>'Cash Flows'!E14+'Cash Flows'!E21+'Cash Flows'!E22+'Cash Flows'!E23+'Cash Flows'!E25+'Cash Flows'!E26</f>
        <v>-194459</v>
      </c>
      <c r="F101" s="43">
        <f>'Cash Flows'!F14+'Cash Flows'!F21+'Cash Flows'!F22+'Cash Flows'!F23+'Cash Flows'!F25+'Cash Flows'!F26</f>
        <v>245281</v>
      </c>
      <c r="G101" s="43">
        <f>'Cash Flows'!G14+'Cash Flows'!G21+'Cash Flows'!G22+'Cash Flows'!G23+'Cash Flows'!G25+'Cash Flows'!G26</f>
        <v>-13193</v>
      </c>
      <c r="H101" s="43">
        <f>'Cash Flows'!H14+'Cash Flows'!H21+'Cash Flows'!H22+'Cash Flows'!H23+'Cash Flows'!H25+'Cash Flows'!H26</f>
        <v>-5072</v>
      </c>
      <c r="I101" s="43">
        <f>'Cash Flows'!I14+'Cash Flows'!I21+'Cash Flows'!I22+'Cash Flows'!I23+'Cash Flows'!I25+'Cash Flows'!I26</f>
        <v>56945</v>
      </c>
      <c r="J101" s="44">
        <f>I74-J74</f>
        <v>-34508.101686219801</v>
      </c>
      <c r="K101" s="44">
        <f t="shared" si="98"/>
        <v>4171.8983137801988</v>
      </c>
      <c r="L101" s="44">
        <f t="shared" ref="L101:R101" si="102">K74-L74</f>
        <v>-27733.747623534524</v>
      </c>
      <c r="M101" s="44">
        <f t="shared" si="102"/>
        <v>47285.001608926686</v>
      </c>
      <c r="N101" s="44">
        <f t="shared" si="102"/>
        <v>36699.608628625982</v>
      </c>
      <c r="O101" s="44">
        <f t="shared" si="102"/>
        <v>-1211.1356864942936</v>
      </c>
      <c r="P101" s="44">
        <f t="shared" si="102"/>
        <v>-13227.161315014353</v>
      </c>
      <c r="Q101" s="44">
        <f t="shared" si="102"/>
        <v>-31196.73444822256</v>
      </c>
      <c r="R101" s="44">
        <f t="shared" si="102"/>
        <v>-37780.629723291844</v>
      </c>
      <c r="S101" s="44"/>
    </row>
    <row r="102" spans="2:19" x14ac:dyDescent="0.25">
      <c r="B102" s="41" t="s">
        <v>322</v>
      </c>
      <c r="C102" s="43">
        <f>'Cash Flows'!C10+'Cash Flows'!C15+'Cash Flows'!C24</f>
        <v>512</v>
      </c>
      <c r="D102" s="43">
        <f>'Cash Flows'!D10+'Cash Flows'!D15+'Cash Flows'!D24</f>
        <v>1601</v>
      </c>
      <c r="E102" s="43">
        <f>'Cash Flows'!E10+'Cash Flows'!E15+'Cash Flows'!E24</f>
        <v>43</v>
      </c>
      <c r="F102" s="43">
        <f>'Cash Flows'!F10+'Cash Flows'!F15+'Cash Flows'!F24</f>
        <v>-207</v>
      </c>
      <c r="G102" s="43">
        <f>'Cash Flows'!G10+'Cash Flows'!G15+'Cash Flows'!G24</f>
        <v>-158</v>
      </c>
      <c r="H102" s="43">
        <f>'Cash Flows'!H10+'Cash Flows'!H15+'Cash Flows'!H24</f>
        <v>-56</v>
      </c>
      <c r="I102" s="43">
        <f>'Cash Flows'!I10+'Cash Flows'!I15+'Cash Flows'!I24</f>
        <v>-81</v>
      </c>
      <c r="J102" s="44">
        <f>I76-J76+J84-I84</f>
        <v>0</v>
      </c>
      <c r="K102" s="44">
        <f t="shared" si="98"/>
        <v>-295</v>
      </c>
      <c r="L102" s="44">
        <f t="shared" ref="L102:R102" si="103">K76-L76+L84-K84</f>
        <v>0</v>
      </c>
      <c r="M102" s="44">
        <f t="shared" si="103"/>
        <v>0</v>
      </c>
      <c r="N102" s="44">
        <f t="shared" si="103"/>
        <v>0</v>
      </c>
      <c r="O102" s="44">
        <f t="shared" si="103"/>
        <v>0</v>
      </c>
      <c r="P102" s="44">
        <f t="shared" si="103"/>
        <v>0</v>
      </c>
      <c r="Q102" s="44">
        <f t="shared" si="103"/>
        <v>0</v>
      </c>
      <c r="R102" s="44">
        <f t="shared" si="103"/>
        <v>0</v>
      </c>
      <c r="S102" s="44"/>
    </row>
    <row r="103" spans="2:19" x14ac:dyDescent="0.25">
      <c r="B103" s="38" t="s">
        <v>249</v>
      </c>
      <c r="C103" s="45">
        <f t="shared" ref="C103:R103" si="104">SUM(C98:C102)</f>
        <v>396739</v>
      </c>
      <c r="D103" s="45">
        <f t="shared" si="104"/>
        <v>224462</v>
      </c>
      <c r="E103" s="45">
        <f t="shared" si="104"/>
        <v>246183</v>
      </c>
      <c r="F103" s="45">
        <f t="shared" si="104"/>
        <v>699582</v>
      </c>
      <c r="G103" s="45">
        <f t="shared" si="104"/>
        <v>81168</v>
      </c>
      <c r="H103" s="45">
        <f t="shared" si="104"/>
        <v>78743</v>
      </c>
      <c r="I103" s="45">
        <f t="shared" si="104"/>
        <v>143522</v>
      </c>
      <c r="J103" s="45">
        <f t="shared" si="104"/>
        <v>51395.363440744462</v>
      </c>
      <c r="K103" s="45">
        <f t="shared" si="104"/>
        <v>354828.36344074446</v>
      </c>
      <c r="L103" s="45">
        <f t="shared" si="104"/>
        <v>246028.06437659694</v>
      </c>
      <c r="M103" s="45">
        <f t="shared" si="104"/>
        <v>328503.40033688745</v>
      </c>
      <c r="N103" s="45">
        <f t="shared" si="104"/>
        <v>348427.09650299494</v>
      </c>
      <c r="O103" s="45">
        <f t="shared" si="104"/>
        <v>326668.11941229034</v>
      </c>
      <c r="P103" s="45">
        <f t="shared" si="104"/>
        <v>350106.44191322266</v>
      </c>
      <c r="Q103" s="45">
        <f t="shared" si="104"/>
        <v>351042.81984187179</v>
      </c>
      <c r="R103" s="45">
        <f t="shared" si="104"/>
        <v>363724.92961337237</v>
      </c>
    </row>
    <row r="104" spans="2:19" x14ac:dyDescent="0.25"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</row>
    <row r="105" spans="2:19" x14ac:dyDescent="0.25">
      <c r="B105" s="39" t="s">
        <v>252</v>
      </c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</row>
    <row r="106" spans="2:19" x14ac:dyDescent="0.25">
      <c r="B106" s="41" t="s">
        <v>253</v>
      </c>
      <c r="C106" s="43">
        <f>'Cash Flows'!C30</f>
        <v>-46991</v>
      </c>
      <c r="D106" s="43">
        <f>'Cash Flows'!D30</f>
        <v>-53746</v>
      </c>
      <c r="E106" s="43">
        <f>'Cash Flows'!E30</f>
        <v>-61373</v>
      </c>
      <c r="F106" s="43">
        <f>'Cash Flows'!F30</f>
        <v>-92493</v>
      </c>
      <c r="G106" s="43">
        <f>'Cash Flows'!G30</f>
        <v>-18433</v>
      </c>
      <c r="H106" s="43">
        <f>'Cash Flows'!H30</f>
        <v>-25350</v>
      </c>
      <c r="I106" s="43">
        <f>'Cash Flows'!I30</f>
        <v>-29571</v>
      </c>
      <c r="J106" s="44">
        <f>-J49*J26</f>
        <v>-24318.378502113228</v>
      </c>
      <c r="K106" s="44">
        <f>SUM(G106:J106)</f>
        <v>-97672.378502113221</v>
      </c>
      <c r="L106" s="44">
        <f t="shared" ref="L106:R106" si="105">-L49*L26</f>
        <v>-59200.567500323457</v>
      </c>
      <c r="M106" s="44">
        <f t="shared" si="105"/>
        <v>-64177.60396551255</v>
      </c>
      <c r="N106" s="44">
        <f t="shared" si="105"/>
        <v>-70272.849641126246</v>
      </c>
      <c r="O106" s="44">
        <f t="shared" si="105"/>
        <v>-74791.987896618142</v>
      </c>
      <c r="P106" s="44">
        <f t="shared" si="105"/>
        <v>-79814.490617472897</v>
      </c>
      <c r="Q106" s="44">
        <f t="shared" si="105"/>
        <v>-79767.959755777047</v>
      </c>
      <c r="R106" s="44">
        <f t="shared" si="105"/>
        <v>-84646.366029766359</v>
      </c>
    </row>
    <row r="107" spans="2:19" x14ac:dyDescent="0.25">
      <c r="B107" s="41" t="s">
        <v>254</v>
      </c>
      <c r="C107" s="43">
        <f>'Cash Flows'!C32+'Cash Flows'!C33</f>
        <v>-2286</v>
      </c>
      <c r="D107" s="43">
        <f>'Cash Flows'!D32+'Cash Flows'!D33</f>
        <v>-22000</v>
      </c>
      <c r="E107" s="43">
        <f>'Cash Flows'!E32+'Cash Flows'!E33</f>
        <v>-33120</v>
      </c>
      <c r="F107" s="43">
        <f>'Cash Flows'!F32+'Cash Flows'!F33</f>
        <v>-20182</v>
      </c>
      <c r="G107" s="43">
        <f>'Cash Flows'!G32+'Cash Flows'!G33</f>
        <v>0</v>
      </c>
      <c r="H107" s="43">
        <f>'Cash Flows'!H32+'Cash Flows'!H33</f>
        <v>-9868</v>
      </c>
      <c r="I107" s="43">
        <f>'Cash Flows'!I32+'Cash Flows'!I33</f>
        <v>9</v>
      </c>
      <c r="J107" s="55">
        <f>-J30*J48</f>
        <v>-3345.6051607255031</v>
      </c>
      <c r="K107" s="55">
        <f>SUM(G107:J107)</f>
        <v>-13204.605160725503</v>
      </c>
      <c r="L107" s="55">
        <f t="shared" ref="L107:R107" si="106">-L30*L48</f>
        <v>-12041.040605253354</v>
      </c>
      <c r="M107" s="55">
        <f t="shared" si="106"/>
        <v>-13511.523594634629</v>
      </c>
      <c r="N107" s="55">
        <f t="shared" si="106"/>
        <v>-11437.09961343736</v>
      </c>
      <c r="O107" s="55">
        <f t="shared" si="106"/>
        <v>-7555.4446235034184</v>
      </c>
      <c r="P107" s="55">
        <f t="shared" si="106"/>
        <v>-5614.4424175015465</v>
      </c>
      <c r="Q107" s="55">
        <f t="shared" si="106"/>
        <v>-10767.461871166646</v>
      </c>
      <c r="R107" s="55">
        <f t="shared" si="106"/>
        <v>-10854.984932025343</v>
      </c>
    </row>
    <row r="108" spans="2:19" x14ac:dyDescent="0.25">
      <c r="B108" s="38" t="s">
        <v>252</v>
      </c>
      <c r="C108" s="45">
        <f>SUM(C106:C107)</f>
        <v>-49277</v>
      </c>
      <c r="D108" s="45">
        <f>SUM(D106:D107)</f>
        <v>-75746</v>
      </c>
      <c r="E108" s="45">
        <f>SUM(E106:E107)</f>
        <v>-94493</v>
      </c>
      <c r="F108" s="45">
        <f>SUM(F106:F107)</f>
        <v>-112675</v>
      </c>
      <c r="G108" s="45">
        <f t="shared" ref="G108:R108" si="107">SUM(G106:G107)</f>
        <v>-18433</v>
      </c>
      <c r="H108" s="45">
        <f t="shared" si="107"/>
        <v>-35218</v>
      </c>
      <c r="I108" s="45">
        <f t="shared" si="107"/>
        <v>-29562</v>
      </c>
      <c r="J108" s="45">
        <f t="shared" si="107"/>
        <v>-27663.983662838731</v>
      </c>
      <c r="K108" s="45">
        <f t="shared" si="107"/>
        <v>-110876.98366283873</v>
      </c>
      <c r="L108" s="45">
        <f t="shared" si="107"/>
        <v>-71241.608105576815</v>
      </c>
      <c r="M108" s="45">
        <f t="shared" si="107"/>
        <v>-77689.127560147172</v>
      </c>
      <c r="N108" s="45">
        <f t="shared" si="107"/>
        <v>-81709.949254563602</v>
      </c>
      <c r="O108" s="45">
        <f t="shared" si="107"/>
        <v>-82347.432520121554</v>
      </c>
      <c r="P108" s="45">
        <f t="shared" si="107"/>
        <v>-85428.933034974441</v>
      </c>
      <c r="Q108" s="45">
        <f t="shared" si="107"/>
        <v>-90535.421626943687</v>
      </c>
      <c r="R108" s="45">
        <f t="shared" si="107"/>
        <v>-95501.350961791701</v>
      </c>
    </row>
    <row r="109" spans="2:19" x14ac:dyDescent="0.25"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</row>
    <row r="110" spans="2:19" x14ac:dyDescent="0.25">
      <c r="B110" s="39" t="s">
        <v>255</v>
      </c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</row>
    <row r="111" spans="2:19" x14ac:dyDescent="0.25">
      <c r="B111" s="41" t="s">
        <v>311</v>
      </c>
      <c r="C111" s="43">
        <f>C81</f>
        <v>174200</v>
      </c>
      <c r="D111" s="43">
        <f>D81-C81</f>
        <v>30000</v>
      </c>
      <c r="E111" s="43">
        <f t="shared" ref="E111:I111" si="108">E81-D81</f>
        <v>1100</v>
      </c>
      <c r="F111" s="43">
        <f t="shared" si="108"/>
        <v>-165000</v>
      </c>
      <c r="G111" s="43">
        <f t="shared" si="108"/>
        <v>85000</v>
      </c>
      <c r="H111" s="43">
        <f t="shared" si="108"/>
        <v>51000</v>
      </c>
      <c r="I111" s="43">
        <f t="shared" si="108"/>
        <v>-95000</v>
      </c>
      <c r="J111" s="46">
        <f>J39</f>
        <v>21230.871568916049</v>
      </c>
      <c r="K111" s="46">
        <f t="shared" ref="K111:K116" si="109">SUM(G111:J111)</f>
        <v>62230.871568916045</v>
      </c>
      <c r="L111" s="46">
        <f t="shared" ref="L111:R111" si="110">L39</f>
        <v>-576.39925435759142</v>
      </c>
      <c r="M111" s="46">
        <f t="shared" si="110"/>
        <v>-140.99577385477096</v>
      </c>
      <c r="N111" s="46">
        <f t="shared" si="110"/>
        <v>-11802.880120054178</v>
      </c>
      <c r="O111" s="46">
        <f t="shared" si="110"/>
        <v>4467.4064241965134</v>
      </c>
      <c r="P111" s="46">
        <f t="shared" si="110"/>
        <v>422.31765894863929</v>
      </c>
      <c r="Q111" s="46">
        <f t="shared" si="110"/>
        <v>15693.27226557854</v>
      </c>
      <c r="R111" s="46">
        <f t="shared" si="110"/>
        <v>6337.3052563826022</v>
      </c>
    </row>
    <row r="112" spans="2:19" x14ac:dyDescent="0.25">
      <c r="B112" s="41" t="s">
        <v>256</v>
      </c>
      <c r="C112" s="43">
        <f>'Cash Flows'!C41+'Cash Flows'!C42+'Cash Flows'!C44+'Cash Flows'!C45+'Cash Flows'!C46+'Cash Flows'!C47-C111</f>
        <v>-189</v>
      </c>
      <c r="D112" s="43">
        <f>'Cash Flows'!D41+'Cash Flows'!D42+'Cash Flows'!D44+'Cash Flows'!D45+'Cash Flows'!D46+'Cash Flows'!D47-D111</f>
        <v>136466</v>
      </c>
      <c r="E112" s="43">
        <f>'Cash Flows'!E41+'Cash Flows'!E42+'Cash Flows'!E44+'Cash Flows'!E45+'Cash Flows'!E46+'Cash Flows'!E47-E111</f>
        <v>5934</v>
      </c>
      <c r="F112" s="43">
        <f>'Cash Flows'!F41+'Cash Flows'!F42+'Cash Flows'!F44+'Cash Flows'!F45+'Cash Flows'!F46+'Cash Flows'!F47-F111</f>
        <v>-177193</v>
      </c>
      <c r="G112" s="43">
        <f>'Cash Flows'!G41+'Cash Flows'!G42+'Cash Flows'!G44+'Cash Flows'!G45+'Cash Flows'!G46+'Cash Flows'!G47-G111</f>
        <v>-376</v>
      </c>
      <c r="H112" s="43">
        <f>'Cash Flows'!H41+'Cash Flows'!H42+'Cash Flows'!H44+'Cash Flows'!H45+'Cash Flows'!H46+'Cash Flows'!H47-H111</f>
        <v>-36774</v>
      </c>
      <c r="I112" s="43">
        <f>'Cash Flows'!I41+'Cash Flows'!I42+'Cash Flows'!I44+'Cash Flows'!I45+'Cash Flows'!I46+'Cash Flows'!I47-I111</f>
        <v>50000</v>
      </c>
      <c r="J112" s="44">
        <f>J83-I83+J85-I85+J82-I82</f>
        <v>-544.91770573565736</v>
      </c>
      <c r="K112" s="46">
        <f t="shared" si="109"/>
        <v>12305.082294264343</v>
      </c>
      <c r="L112" s="55">
        <f t="shared" ref="L112:R112" si="111">L83-K83+L85-K85+L82-K82</f>
        <v>-2158.0899237055855</v>
      </c>
      <c r="M112" s="55">
        <f t="shared" si="111"/>
        <v>-2136.7226967382012</v>
      </c>
      <c r="N112" s="55">
        <f t="shared" si="111"/>
        <v>-2115.5670264734654</v>
      </c>
      <c r="O112" s="55">
        <f t="shared" si="111"/>
        <v>-2094.6208182905684</v>
      </c>
      <c r="P112" s="55">
        <f t="shared" si="111"/>
        <v>-2073.8819983074791</v>
      </c>
      <c r="Q112" s="55">
        <f t="shared" si="111"/>
        <v>-2053.3485131757334</v>
      </c>
      <c r="R112" s="55">
        <f t="shared" si="111"/>
        <v>-2033.0183298769698</v>
      </c>
    </row>
    <row r="113" spans="2:19" x14ac:dyDescent="0.25">
      <c r="B113" s="41" t="s">
        <v>257</v>
      </c>
      <c r="C113" s="43">
        <f>'Cash Flows'!C37</f>
        <v>-166537</v>
      </c>
      <c r="D113" s="43">
        <f>'Cash Flows'!D37</f>
        <v>-167299</v>
      </c>
      <c r="E113" s="43">
        <f>'Cash Flows'!E37</f>
        <v>-167376</v>
      </c>
      <c r="F113" s="43">
        <f>'Cash Flows'!F37</f>
        <v>-176715</v>
      </c>
      <c r="G113" s="43">
        <f>'Cash Flows'!G37</f>
        <v>-47192</v>
      </c>
      <c r="H113" s="43">
        <f>'Cash Flows'!H37</f>
        <v>-46772</v>
      </c>
      <c r="I113" s="43">
        <f>'Cash Flows'!I37</f>
        <v>-46731</v>
      </c>
      <c r="J113" s="44">
        <f>-J67*J32</f>
        <v>-45389.000307752794</v>
      </c>
      <c r="K113" s="44">
        <f t="shared" si="109"/>
        <v>-186084.00030775281</v>
      </c>
      <c r="L113" s="44">
        <f t="shared" ref="L113:R113" si="112">-L67*L32</f>
        <v>-123027.66323423763</v>
      </c>
      <c r="M113" s="44">
        <f t="shared" si="112"/>
        <v>-126306.17064601171</v>
      </c>
      <c r="N113" s="44">
        <f t="shared" si="112"/>
        <v>-136770.83331191086</v>
      </c>
      <c r="O113" s="44">
        <f t="shared" si="112"/>
        <v>-148928.64739937187</v>
      </c>
      <c r="P113" s="44">
        <f t="shared" si="112"/>
        <v>-168918.43572337792</v>
      </c>
      <c r="Q113" s="44">
        <f t="shared" si="112"/>
        <v>-174698.29528416376</v>
      </c>
      <c r="R113" s="44">
        <f t="shared" si="112"/>
        <v>-182913.79353054898</v>
      </c>
    </row>
    <row r="114" spans="2:19" x14ac:dyDescent="0.25">
      <c r="B114" s="41" t="s">
        <v>258</v>
      </c>
      <c r="C114" s="43">
        <f>'Cash Flows'!C36</f>
        <v>-3444</v>
      </c>
      <c r="D114" s="43">
        <f>'Cash Flows'!D36</f>
        <v>-71261</v>
      </c>
      <c r="E114" s="43">
        <f>'Cash Flows'!E36</f>
        <v>-27359</v>
      </c>
      <c r="F114" s="43">
        <f>'Cash Flows'!F36</f>
        <v>-95779</v>
      </c>
      <c r="G114" s="43">
        <f>'Cash Flows'!G36</f>
        <v>-132045</v>
      </c>
      <c r="H114" s="43">
        <f>'Cash Flows'!H36</f>
        <v>-16632</v>
      </c>
      <c r="I114" s="43">
        <f>'Cash Flows'!I36</f>
        <v>-18489</v>
      </c>
      <c r="J114" s="44">
        <f>-J33*J67</f>
        <v>0</v>
      </c>
      <c r="K114" s="44">
        <f t="shared" si="109"/>
        <v>-167166</v>
      </c>
      <c r="L114" s="44">
        <f t="shared" ref="L114:R114" si="113">-L33*L67</f>
        <v>-49038.437192052661</v>
      </c>
      <c r="M114" s="44">
        <f t="shared" si="113"/>
        <v>-122231.14366013558</v>
      </c>
      <c r="N114" s="44">
        <f t="shared" si="113"/>
        <v>-115957.57878999285</v>
      </c>
      <c r="O114" s="44">
        <f t="shared" si="113"/>
        <v>-97790.279498702846</v>
      </c>
      <c r="P114" s="44">
        <f t="shared" si="113"/>
        <v>-94136.454095511494</v>
      </c>
      <c r="Q114" s="44">
        <f t="shared" si="113"/>
        <v>-99448.827685833778</v>
      </c>
      <c r="R114" s="44">
        <f t="shared" si="113"/>
        <v>-89611.006584070667</v>
      </c>
    </row>
    <row r="115" spans="2:19" x14ac:dyDescent="0.25">
      <c r="B115" s="41" t="s">
        <v>259</v>
      </c>
      <c r="C115" s="43">
        <f>'Cash Flows'!C38</f>
        <v>-277634</v>
      </c>
      <c r="D115" s="43">
        <f>'Cash Flows'!D38</f>
        <v>-195351</v>
      </c>
      <c r="E115" s="43">
        <f>'Cash Flows'!E38</f>
        <v>0</v>
      </c>
      <c r="F115" s="43">
        <f>'Cash Flows'!F38</f>
        <v>0</v>
      </c>
      <c r="G115" s="43">
        <f>'Cash Flows'!G38</f>
        <v>0</v>
      </c>
      <c r="H115" s="43">
        <f>'Cash Flows'!H38</f>
        <v>0</v>
      </c>
      <c r="I115" s="43">
        <f>'Cash Flows'!I38</f>
        <v>0</v>
      </c>
      <c r="J115" s="44">
        <v>0</v>
      </c>
      <c r="K115" s="44">
        <f t="shared" si="109"/>
        <v>0</v>
      </c>
      <c r="L115" s="44">
        <v>0</v>
      </c>
      <c r="M115" s="44">
        <v>0</v>
      </c>
      <c r="N115" s="44">
        <v>0</v>
      </c>
      <c r="O115" s="44">
        <v>0</v>
      </c>
      <c r="P115" s="44">
        <v>0</v>
      </c>
      <c r="Q115" s="44">
        <v>0</v>
      </c>
      <c r="R115" s="44">
        <v>0</v>
      </c>
    </row>
    <row r="116" spans="2:19" x14ac:dyDescent="0.25">
      <c r="B116" s="41" t="s">
        <v>260</v>
      </c>
      <c r="C116" s="43">
        <f>'Cash Flows'!C39+'Cash Flows'!C40+'Cash Flows'!C43+'Cash Flows'!C48</f>
        <v>18986</v>
      </c>
      <c r="D116" s="43">
        <f>'Cash Flows'!D39+'Cash Flows'!D40+'Cash Flows'!D43+'Cash Flows'!D48</f>
        <v>33698</v>
      </c>
      <c r="E116" s="43">
        <f>'Cash Flows'!E39+'Cash Flows'!E40+'Cash Flows'!E43+'Cash Flows'!E48</f>
        <v>39561</v>
      </c>
      <c r="F116" s="43">
        <f>'Cash Flows'!F39+'Cash Flows'!F40+'Cash Flows'!F43+'Cash Flows'!F48</f>
        <v>34287</v>
      </c>
      <c r="G116" s="43">
        <f>'Cash Flows'!G39+'Cash Flows'!G40+'Cash Flows'!G43+'Cash Flows'!G48</f>
        <v>7422</v>
      </c>
      <c r="H116" s="43">
        <f>'Cash Flows'!H39+'Cash Flows'!H40+'Cash Flows'!H43+'Cash Flows'!H48</f>
        <v>2092</v>
      </c>
      <c r="I116" s="43">
        <f>'Cash Flows'!I39+'Cash Flows'!I40+'Cash Flows'!I43+'Cash Flows'!I48</f>
        <v>22</v>
      </c>
      <c r="J116" s="44">
        <f>MAX(J112,0)*J34</f>
        <v>0</v>
      </c>
      <c r="K116" s="44">
        <f t="shared" si="109"/>
        <v>9536</v>
      </c>
      <c r="L116" s="44">
        <f t="shared" ref="L116:R116" si="114">MAX(L112,0)*L34</f>
        <v>0</v>
      </c>
      <c r="M116" s="44">
        <f t="shared" si="114"/>
        <v>0</v>
      </c>
      <c r="N116" s="44">
        <f t="shared" si="114"/>
        <v>0</v>
      </c>
      <c r="O116" s="44">
        <f t="shared" si="114"/>
        <v>0</v>
      </c>
      <c r="P116" s="44">
        <f t="shared" si="114"/>
        <v>0</v>
      </c>
      <c r="Q116" s="44">
        <f t="shared" si="114"/>
        <v>0</v>
      </c>
      <c r="R116" s="44">
        <f t="shared" si="114"/>
        <v>0</v>
      </c>
      <c r="S116" s="31" t="s">
        <v>381</v>
      </c>
    </row>
    <row r="117" spans="2:19" x14ac:dyDescent="0.25">
      <c r="B117" s="38" t="s">
        <v>255</v>
      </c>
      <c r="C117" s="45">
        <f t="shared" ref="C117:R117" si="115">SUM(C111:C116)</f>
        <v>-254618</v>
      </c>
      <c r="D117" s="45">
        <f t="shared" si="115"/>
        <v>-233747</v>
      </c>
      <c r="E117" s="45">
        <f t="shared" si="115"/>
        <v>-148140</v>
      </c>
      <c r="F117" s="45">
        <f t="shared" si="115"/>
        <v>-580400</v>
      </c>
      <c r="G117" s="45">
        <f t="shared" si="115"/>
        <v>-87191</v>
      </c>
      <c r="H117" s="45">
        <f t="shared" si="115"/>
        <v>-47086</v>
      </c>
      <c r="I117" s="45">
        <f t="shared" si="115"/>
        <v>-110198</v>
      </c>
      <c r="J117" s="45">
        <f t="shared" si="115"/>
        <v>-24703.046444572403</v>
      </c>
      <c r="K117" s="45">
        <f t="shared" si="115"/>
        <v>-269178.04644457239</v>
      </c>
      <c r="L117" s="45">
        <f t="shared" si="115"/>
        <v>-174800.58960435347</v>
      </c>
      <c r="M117" s="45">
        <f t="shared" si="115"/>
        <v>-250815.03277674026</v>
      </c>
      <c r="N117" s="45">
        <f t="shared" si="115"/>
        <v>-266646.85924843134</v>
      </c>
      <c r="O117" s="45">
        <f t="shared" si="115"/>
        <v>-244346.14129216876</v>
      </c>
      <c r="P117" s="45">
        <f t="shared" si="115"/>
        <v>-264706.45415824826</v>
      </c>
      <c r="Q117" s="45">
        <f t="shared" si="115"/>
        <v>-260507.19921759475</v>
      </c>
      <c r="R117" s="45">
        <f t="shared" si="115"/>
        <v>-268220.51318811404</v>
      </c>
    </row>
    <row r="118" spans="2:19" x14ac:dyDescent="0.25"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</row>
    <row r="119" spans="2:19" x14ac:dyDescent="0.25">
      <c r="B119" s="32" t="s">
        <v>261</v>
      </c>
      <c r="C119" s="43">
        <f>'Cash Flows'!C50</f>
        <v>81</v>
      </c>
      <c r="D119" s="43">
        <f>'Cash Flows'!D50</f>
        <v>356</v>
      </c>
      <c r="E119" s="43">
        <f>'Cash Flows'!E50</f>
        <v>-549</v>
      </c>
      <c r="F119" s="43">
        <f>'Cash Flows'!F50</f>
        <v>8</v>
      </c>
      <c r="G119" s="43">
        <f>'Cash Flows'!G50</f>
        <v>209</v>
      </c>
      <c r="H119" s="43">
        <f>'Cash Flows'!H50</f>
        <v>-17</v>
      </c>
      <c r="I119" s="43">
        <f>'Cash Flows'!I50</f>
        <v>-61</v>
      </c>
      <c r="J119" s="49">
        <f>AVERAGE(G119:I119)</f>
        <v>43.666666666666664</v>
      </c>
      <c r="K119" s="49">
        <f>SUM(G119:J119)</f>
        <v>174.66666666666666</v>
      </c>
      <c r="L119" s="49">
        <f t="shared" ref="L119" si="116">AVERAGE(C119:F119,K119)</f>
        <v>14.133333333333331</v>
      </c>
      <c r="M119" s="49">
        <f t="shared" ref="M119" si="117">AVERAGE(K119:L119,D119:F119)</f>
        <v>0.75999999999999091</v>
      </c>
      <c r="N119" s="49">
        <f t="shared" ref="N119" si="118">AVERAGE(K119:M119,E119:F119)</f>
        <v>-70.288000000000011</v>
      </c>
      <c r="O119" s="49">
        <f t="shared" ref="O119" si="119">AVERAGE(K119:N119,F119)</f>
        <v>25.454399999999993</v>
      </c>
      <c r="P119" s="49">
        <f t="shared" ref="P119" si="120">AVERAGE(K119:O119)</f>
        <v>28.94527999999999</v>
      </c>
      <c r="Q119" s="49">
        <f t="shared" ref="Q119" si="121">AVERAGE(L119:P119)</f>
        <v>-0.19899733333334096</v>
      </c>
      <c r="R119" s="49">
        <f t="shared" ref="R119" si="122">AVERAGE(M119:Q119)</f>
        <v>-3.0654634666666758</v>
      </c>
    </row>
    <row r="120" spans="2:19" x14ac:dyDescent="0.25"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9" x14ac:dyDescent="0.25">
      <c r="B121" s="39" t="s">
        <v>262</v>
      </c>
      <c r="C121" s="47">
        <f t="shared" ref="C121:R121" si="123">C103+C108+C117+C119</f>
        <v>92925</v>
      </c>
      <c r="D121" s="47">
        <f t="shared" si="123"/>
        <v>-84675</v>
      </c>
      <c r="E121" s="47">
        <f t="shared" si="123"/>
        <v>3001</v>
      </c>
      <c r="F121" s="47">
        <f t="shared" si="123"/>
        <v>6515</v>
      </c>
      <c r="G121" s="47">
        <f t="shared" si="123"/>
        <v>-24247</v>
      </c>
      <c r="H121" s="47">
        <f t="shared" si="123"/>
        <v>-3578</v>
      </c>
      <c r="I121" s="47">
        <f t="shared" si="123"/>
        <v>3701</v>
      </c>
      <c r="J121" s="47">
        <f t="shared" si="123"/>
        <v>-928.00000000000489</v>
      </c>
      <c r="K121" s="47">
        <f t="shared" si="123"/>
        <v>-25051.999999999989</v>
      </c>
      <c r="L121" s="47">
        <f t="shared" si="123"/>
        <v>-2.716582514494803E-11</v>
      </c>
      <c r="M121" s="47">
        <f t="shared" si="123"/>
        <v>1.9781509763561189E-11</v>
      </c>
      <c r="N121" s="47">
        <f t="shared" si="123"/>
        <v>4.5474735088646412E-13</v>
      </c>
      <c r="O121" s="47">
        <f t="shared" si="123"/>
        <v>1.2192913345643319E-11</v>
      </c>
      <c r="P121" s="47">
        <f t="shared" si="123"/>
        <v>-4.3577585984166944E-11</v>
      </c>
      <c r="Q121" s="47">
        <f t="shared" si="123"/>
        <v>2.1441348696527029E-11</v>
      </c>
      <c r="R121" s="47">
        <f t="shared" si="123"/>
        <v>-3.8686831516088205E-11</v>
      </c>
    </row>
    <row r="122" spans="2:19" hidden="1" x14ac:dyDescent="0.25">
      <c r="C122" s="42">
        <f>'Cash Flows'!C51</f>
        <v>92925</v>
      </c>
      <c r="D122" s="42">
        <f>'Cash Flows'!D51</f>
        <v>-84675</v>
      </c>
      <c r="E122" s="42">
        <f>'Cash Flows'!E51</f>
        <v>3001</v>
      </c>
      <c r="F122" s="42">
        <f>'Cash Flows'!F51</f>
        <v>6515</v>
      </c>
      <c r="G122" s="42">
        <f>'Cash Flows'!G51</f>
        <v>-24247</v>
      </c>
      <c r="H122" s="42">
        <f>'Cash Flows'!H51</f>
        <v>-3578</v>
      </c>
      <c r="I122" s="42">
        <f>'Cash Flows'!I51</f>
        <v>3701</v>
      </c>
      <c r="J122" s="42"/>
      <c r="K122" s="46"/>
      <c r="L122" s="46"/>
      <c r="M122" s="46"/>
      <c r="N122" s="46"/>
      <c r="O122" s="46"/>
      <c r="P122" s="46"/>
      <c r="Q122" s="46"/>
      <c r="R122" s="46"/>
    </row>
    <row r="123" spans="2:19" hidden="1" x14ac:dyDescent="0.25">
      <c r="B123" s="31" t="s">
        <v>207</v>
      </c>
      <c r="C123" s="53">
        <f>C121-C122</f>
        <v>0</v>
      </c>
      <c r="D123" s="53">
        <f t="shared" ref="D123:I123" si="124">D121-D122</f>
        <v>0</v>
      </c>
      <c r="E123" s="53">
        <f t="shared" si="124"/>
        <v>0</v>
      </c>
      <c r="F123" s="53">
        <f t="shared" si="124"/>
        <v>0</v>
      </c>
      <c r="G123" s="53">
        <f t="shared" si="124"/>
        <v>0</v>
      </c>
      <c r="H123" s="53">
        <f t="shared" si="124"/>
        <v>0</v>
      </c>
      <c r="I123" s="53">
        <f t="shared" si="124"/>
        <v>0</v>
      </c>
      <c r="J123" s="53"/>
      <c r="K123" s="53"/>
      <c r="L123" s="53"/>
      <c r="M123" s="53"/>
      <c r="N123" s="53"/>
      <c r="O123" s="53"/>
      <c r="P123" s="53"/>
      <c r="Q123" s="53"/>
      <c r="R123" s="5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2DEA-C202-495B-BDB0-3F2947A57720}">
  <sheetPr>
    <tabColor theme="1"/>
  </sheetPr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7F80-6AC2-42AE-91FE-835C83D1278A}">
  <dimension ref="A1:S29"/>
  <sheetViews>
    <sheetView showGridLines="0" workbookViewId="0"/>
  </sheetViews>
  <sheetFormatPr defaultRowHeight="15" x14ac:dyDescent="0.25"/>
  <cols>
    <col min="1" max="1" width="12.5703125" style="2" bestFit="1" customWidth="1"/>
    <col min="2" max="2" width="10" style="2" bestFit="1" customWidth="1"/>
    <col min="3" max="3" width="70.85546875" style="2" bestFit="1" customWidth="1"/>
    <col min="4" max="4" width="16.28515625" style="2" bestFit="1" customWidth="1"/>
    <col min="5" max="8" width="17.5703125" style="2" bestFit="1" customWidth="1"/>
    <col min="9" max="9" width="19.42578125" style="2" bestFit="1" customWidth="1"/>
    <col min="10" max="10" width="16.85546875" style="2" bestFit="1" customWidth="1"/>
    <col min="11" max="11" width="17.5703125" style="2" bestFit="1" customWidth="1"/>
    <col min="12" max="12" width="18.140625" style="2" bestFit="1" customWidth="1"/>
    <col min="13" max="13" width="21.5703125" style="2" bestFit="1" customWidth="1"/>
    <col min="14" max="15" width="19.5703125" style="2" bestFit="1" customWidth="1"/>
    <col min="16" max="16" width="20.5703125" style="2" bestFit="1" customWidth="1"/>
    <col min="17" max="17" width="10.7109375" style="2" bestFit="1" customWidth="1"/>
    <col min="18" max="18" width="22.28515625" style="2" bestFit="1" customWidth="1"/>
    <col min="19" max="19" width="11" style="2" bestFit="1" customWidth="1"/>
    <col min="20" max="16384" width="9.140625" style="2"/>
  </cols>
  <sheetData>
    <row r="1" spans="1:1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25">
      <c r="A2" s="2" t="s">
        <v>20</v>
      </c>
      <c r="B2" s="2" t="s">
        <v>21</v>
      </c>
      <c r="C2" s="2">
        <v>4.46</v>
      </c>
      <c r="D2" s="2">
        <v>4.3</v>
      </c>
      <c r="E2" s="2">
        <v>4.45</v>
      </c>
      <c r="F2" s="2">
        <v>4.62</v>
      </c>
      <c r="G2" s="2">
        <v>4.7300000000000004</v>
      </c>
      <c r="H2" s="2">
        <v>2275</v>
      </c>
      <c r="I2" s="2" t="s">
        <v>22</v>
      </c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</row>
    <row r="3" spans="1:19" x14ac:dyDescent="0.25">
      <c r="A3" s="2" t="s">
        <v>23</v>
      </c>
      <c r="B3" s="2" t="s">
        <v>21</v>
      </c>
      <c r="C3" s="2">
        <v>4.53</v>
      </c>
      <c r="D3" s="2">
        <v>4.3499999999999996</v>
      </c>
      <c r="E3" s="2">
        <v>4.5</v>
      </c>
      <c r="F3" s="2">
        <v>4.7</v>
      </c>
      <c r="G3" s="2">
        <v>4.8</v>
      </c>
      <c r="H3" s="2">
        <v>2320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</row>
    <row r="4" spans="1:19" x14ac:dyDescent="0.25">
      <c r="A4" s="2" t="s">
        <v>24</v>
      </c>
      <c r="B4" s="2" t="s">
        <v>21</v>
      </c>
      <c r="C4" s="2">
        <v>4.4000000000000004</v>
      </c>
      <c r="D4" s="2">
        <v>4.3099999999999996</v>
      </c>
      <c r="E4" s="2">
        <v>4.3899999999999997</v>
      </c>
      <c r="F4" s="2">
        <v>4.5</v>
      </c>
      <c r="G4" s="2">
        <v>4.58</v>
      </c>
      <c r="H4" s="2">
        <v>2282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</row>
    <row r="5" spans="1:19" x14ac:dyDescent="0.25">
      <c r="A5" s="2" t="s">
        <v>25</v>
      </c>
      <c r="B5" s="2" t="s">
        <v>21</v>
      </c>
      <c r="C5" s="2">
        <v>4.3099999999999996</v>
      </c>
      <c r="D5" s="2">
        <v>4.25</v>
      </c>
      <c r="E5" s="2">
        <v>4.3</v>
      </c>
      <c r="F5" s="2">
        <v>4.38</v>
      </c>
      <c r="G5" s="2">
        <v>4.43</v>
      </c>
      <c r="H5" s="2">
        <v>2337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22</v>
      </c>
      <c r="R5" s="2" t="s">
        <v>22</v>
      </c>
      <c r="S5" s="2" t="s">
        <v>22</v>
      </c>
    </row>
    <row r="6" spans="1:19" x14ac:dyDescent="0.25">
      <c r="A6" s="2" t="s">
        <v>26</v>
      </c>
      <c r="B6" s="2" t="s">
        <v>21</v>
      </c>
      <c r="C6" s="2">
        <v>4.3</v>
      </c>
      <c r="D6" s="2">
        <v>4.25</v>
      </c>
      <c r="E6" s="2">
        <v>4.28</v>
      </c>
      <c r="F6" s="2">
        <v>4.37</v>
      </c>
      <c r="G6" s="2">
        <v>4.4000000000000004</v>
      </c>
      <c r="H6" s="2">
        <v>2330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</row>
    <row r="7" spans="1:19" x14ac:dyDescent="0.25">
      <c r="A7" s="2" t="s">
        <v>27</v>
      </c>
      <c r="B7" s="2" t="s">
        <v>21</v>
      </c>
      <c r="C7" s="2">
        <v>4.3</v>
      </c>
      <c r="D7" s="2">
        <v>4.25</v>
      </c>
      <c r="E7" s="2">
        <v>4.2699999999999996</v>
      </c>
      <c r="F7" s="2">
        <v>4.3499999999999996</v>
      </c>
      <c r="G7" s="2">
        <v>4.58</v>
      </c>
      <c r="H7" s="2">
        <v>2390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</row>
    <row r="8" spans="1:19" x14ac:dyDescent="0.25">
      <c r="A8" s="2" t="s">
        <v>28</v>
      </c>
      <c r="B8" s="2" t="s">
        <v>21</v>
      </c>
      <c r="C8" s="2">
        <v>4.57</v>
      </c>
      <c r="D8" s="2">
        <v>4.55</v>
      </c>
      <c r="E8" s="2">
        <v>4.5599999999999996</v>
      </c>
      <c r="F8" s="2">
        <v>4.62</v>
      </c>
      <c r="G8" s="2">
        <v>4.66</v>
      </c>
      <c r="H8" s="2">
        <v>2291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</row>
    <row r="9" spans="1:19" x14ac:dyDescent="0.25">
      <c r="A9" s="2" t="s">
        <v>29</v>
      </c>
      <c r="B9" s="2" t="s">
        <v>21</v>
      </c>
      <c r="C9" s="2">
        <v>4.62</v>
      </c>
      <c r="D9" s="2">
        <v>4.55</v>
      </c>
      <c r="E9" s="2">
        <v>4.59</v>
      </c>
      <c r="F9" s="2">
        <v>4.68</v>
      </c>
      <c r="G9" s="2">
        <v>4.71</v>
      </c>
      <c r="H9" s="2">
        <v>2341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</row>
    <row r="10" spans="1:19" x14ac:dyDescent="0.25">
      <c r="A10" s="2" t="s">
        <v>30</v>
      </c>
      <c r="B10" s="2" t="s">
        <v>21</v>
      </c>
      <c r="C10" s="2">
        <v>4.6500000000000004</v>
      </c>
      <c r="D10" s="2">
        <v>4.5599999999999996</v>
      </c>
      <c r="E10" s="2">
        <v>4.6100000000000003</v>
      </c>
      <c r="F10" s="2">
        <v>4.71</v>
      </c>
      <c r="G10" s="2">
        <v>4.75</v>
      </c>
      <c r="H10" s="2">
        <v>2360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</row>
    <row r="11" spans="1:19" x14ac:dyDescent="0.25">
      <c r="A11" s="2" t="s">
        <v>31</v>
      </c>
      <c r="B11" s="2" t="s">
        <v>21</v>
      </c>
      <c r="C11" s="2">
        <v>4.5999999999999996</v>
      </c>
      <c r="D11" s="2">
        <v>4.55</v>
      </c>
      <c r="E11" s="2">
        <v>4.59</v>
      </c>
      <c r="F11" s="2">
        <v>4.66</v>
      </c>
      <c r="G11" s="2">
        <v>4.7</v>
      </c>
      <c r="H11" s="2">
        <v>2255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</row>
    <row r="12" spans="1:19" x14ac:dyDescent="0.25">
      <c r="A12" s="2" t="s">
        <v>32</v>
      </c>
      <c r="B12" s="2" t="s">
        <v>21</v>
      </c>
      <c r="C12" s="2">
        <v>4.62</v>
      </c>
      <c r="D12" s="2">
        <v>4.55</v>
      </c>
      <c r="E12" s="2">
        <v>4.5999999999999996</v>
      </c>
      <c r="F12" s="2">
        <v>4.68</v>
      </c>
      <c r="G12" s="2">
        <v>4.72</v>
      </c>
      <c r="H12" s="2">
        <v>2262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</row>
    <row r="13" spans="1:19" x14ac:dyDescent="0.25">
      <c r="A13" s="2" t="s">
        <v>33</v>
      </c>
      <c r="B13" s="2" t="s">
        <v>21</v>
      </c>
      <c r="C13" s="2">
        <v>4.62</v>
      </c>
      <c r="D13" s="2">
        <v>4.5599999999999996</v>
      </c>
      <c r="E13" s="2">
        <v>4.5999999999999996</v>
      </c>
      <c r="F13" s="2">
        <v>4.68</v>
      </c>
      <c r="G13" s="2">
        <v>4.72</v>
      </c>
      <c r="H13" s="2">
        <v>2287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</row>
    <row r="14" spans="1:19" x14ac:dyDescent="0.25">
      <c r="A14" s="2" t="s">
        <v>34</v>
      </c>
      <c r="B14" s="2" t="s">
        <v>21</v>
      </c>
      <c r="C14" s="2">
        <v>4.6399999999999997</v>
      </c>
      <c r="D14" s="2">
        <v>4.5599999999999996</v>
      </c>
      <c r="E14" s="2">
        <v>4.6100000000000003</v>
      </c>
      <c r="F14" s="2">
        <v>4.72</v>
      </c>
      <c r="G14" s="2">
        <v>4.76</v>
      </c>
      <c r="H14" s="2">
        <v>2308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</row>
    <row r="15" spans="1:19" x14ac:dyDescent="0.25">
      <c r="A15" s="2" t="s">
        <v>35</v>
      </c>
      <c r="B15" s="2" t="s">
        <v>21</v>
      </c>
      <c r="C15" s="2">
        <v>4.63</v>
      </c>
      <c r="D15" s="2">
        <v>4.5599999999999996</v>
      </c>
      <c r="E15" s="2">
        <v>4.5999999999999996</v>
      </c>
      <c r="F15" s="2">
        <v>4.6900000000000004</v>
      </c>
      <c r="G15" s="2">
        <v>4.74</v>
      </c>
      <c r="H15" s="2">
        <v>2305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22</v>
      </c>
      <c r="N15" s="2" t="s">
        <v>22</v>
      </c>
      <c r="O15" s="2" t="s">
        <v>22</v>
      </c>
      <c r="P15" s="2" t="s">
        <v>22</v>
      </c>
      <c r="Q15" s="2" t="s">
        <v>22</v>
      </c>
      <c r="R15" s="2" t="s">
        <v>22</v>
      </c>
      <c r="S15" s="2" t="s">
        <v>22</v>
      </c>
    </row>
    <row r="16" spans="1:19" x14ac:dyDescent="0.25">
      <c r="A16" s="2" t="s">
        <v>36</v>
      </c>
      <c r="B16" s="2" t="s">
        <v>21</v>
      </c>
      <c r="C16" s="2">
        <v>4.5999999999999996</v>
      </c>
      <c r="D16" s="2">
        <v>4.55</v>
      </c>
      <c r="E16" s="2">
        <v>4.58</v>
      </c>
      <c r="F16" s="2">
        <v>4.68</v>
      </c>
      <c r="G16" s="2">
        <v>4.7</v>
      </c>
      <c r="H16" s="2">
        <v>2277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</row>
    <row r="17" spans="1:19" x14ac:dyDescent="0.25">
      <c r="A17" s="2" t="s">
        <v>37</v>
      </c>
      <c r="B17" s="2" t="s">
        <v>21</v>
      </c>
      <c r="C17" s="2">
        <v>4.59</v>
      </c>
      <c r="D17" s="2">
        <v>4.55</v>
      </c>
      <c r="E17" s="2">
        <v>4.57</v>
      </c>
      <c r="F17" s="2">
        <v>4.6500000000000004</v>
      </c>
      <c r="G17" s="2">
        <v>4.68</v>
      </c>
      <c r="H17" s="2">
        <v>2325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</row>
    <row r="18" spans="1:19" x14ac:dyDescent="0.25">
      <c r="A18" s="2" t="s">
        <v>38</v>
      </c>
      <c r="B18" s="2" t="s">
        <v>21</v>
      </c>
      <c r="C18" s="2">
        <v>4.59</v>
      </c>
      <c r="D18" s="2">
        <v>4.55</v>
      </c>
      <c r="E18" s="2">
        <v>4.58</v>
      </c>
      <c r="F18" s="2">
        <v>4.66</v>
      </c>
      <c r="G18" s="2">
        <v>4.6900000000000004</v>
      </c>
      <c r="H18" s="2">
        <v>2265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22</v>
      </c>
      <c r="N18" s="2" t="s">
        <v>22</v>
      </c>
      <c r="O18" s="2" t="s">
        <v>22</v>
      </c>
      <c r="P18" s="2" t="s">
        <v>22</v>
      </c>
      <c r="Q18" s="2" t="s">
        <v>22</v>
      </c>
      <c r="R18" s="2" t="s">
        <v>22</v>
      </c>
      <c r="S18" s="2" t="s">
        <v>22</v>
      </c>
    </row>
    <row r="19" spans="1:19" x14ac:dyDescent="0.25">
      <c r="A19" s="2" t="s">
        <v>39</v>
      </c>
      <c r="B19" s="2" t="s">
        <v>21</v>
      </c>
      <c r="C19" s="2">
        <v>4.6399999999999997</v>
      </c>
      <c r="D19" s="2">
        <v>4.55</v>
      </c>
      <c r="E19" s="2">
        <v>4.5999999999999996</v>
      </c>
      <c r="F19" s="2">
        <v>4.7</v>
      </c>
      <c r="G19" s="2">
        <v>4.75</v>
      </c>
      <c r="H19" s="2">
        <v>2329</v>
      </c>
      <c r="I19" s="2" t="s">
        <v>22</v>
      </c>
      <c r="J19" s="2" t="s">
        <v>22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</row>
    <row r="20" spans="1:19" x14ac:dyDescent="0.25">
      <c r="A20" s="2" t="s">
        <v>40</v>
      </c>
      <c r="B20" s="2" t="s">
        <v>21</v>
      </c>
      <c r="C20" s="2">
        <v>4.6399999999999997</v>
      </c>
      <c r="D20" s="2">
        <v>4.57</v>
      </c>
      <c r="E20" s="2">
        <v>4.5999999999999996</v>
      </c>
      <c r="F20" s="2">
        <v>4.72</v>
      </c>
      <c r="G20" s="2">
        <v>4.75</v>
      </c>
      <c r="H20" s="2">
        <v>2440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</row>
    <row r="21" spans="1:19" x14ac:dyDescent="0.25">
      <c r="A21" s="2" t="s">
        <v>41</v>
      </c>
      <c r="B21" s="2" t="s">
        <v>21</v>
      </c>
      <c r="C21" s="2">
        <v>4.59</v>
      </c>
      <c r="D21" s="2">
        <v>4.55</v>
      </c>
      <c r="E21" s="2">
        <v>4.58</v>
      </c>
      <c r="F21" s="2">
        <v>4.66</v>
      </c>
      <c r="G21" s="2">
        <v>4.7</v>
      </c>
      <c r="H21" s="2">
        <v>2209</v>
      </c>
      <c r="I21" s="2" t="s">
        <v>22</v>
      </c>
      <c r="J21" s="2" t="s">
        <v>22</v>
      </c>
      <c r="K21" s="2" t="s">
        <v>22</v>
      </c>
      <c r="L21" s="2" t="s">
        <v>22</v>
      </c>
      <c r="M21" s="2" t="s">
        <v>22</v>
      </c>
      <c r="N21" s="2" t="s">
        <v>22</v>
      </c>
      <c r="O21" s="2" t="s">
        <v>22</v>
      </c>
      <c r="P21" s="2" t="s">
        <v>22</v>
      </c>
      <c r="Q21" s="2" t="s">
        <v>22</v>
      </c>
      <c r="R21" s="2" t="s">
        <v>22</v>
      </c>
      <c r="S21" s="2" t="s">
        <v>22</v>
      </c>
    </row>
    <row r="22" spans="1:19" x14ac:dyDescent="0.25">
      <c r="A22" s="2" t="s">
        <v>42</v>
      </c>
      <c r="B22" s="2" t="s">
        <v>21</v>
      </c>
      <c r="C22" s="2">
        <v>4.57</v>
      </c>
      <c r="D22" s="2">
        <v>4.54</v>
      </c>
      <c r="E22" s="2">
        <v>4.5599999999999996</v>
      </c>
      <c r="F22" s="2">
        <v>4.63</v>
      </c>
      <c r="G22" s="2">
        <v>4.66</v>
      </c>
      <c r="H22" s="2">
        <v>2136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</row>
    <row r="23" spans="1:19" x14ac:dyDescent="0.25">
      <c r="A23" s="2" t="s">
        <v>43</v>
      </c>
      <c r="B23" s="2" t="s">
        <v>21</v>
      </c>
      <c r="C23" s="2">
        <v>4.58</v>
      </c>
      <c r="D23" s="2">
        <v>4.54</v>
      </c>
      <c r="E23" s="2">
        <v>4.57</v>
      </c>
      <c r="F23" s="2">
        <v>4.6399999999999997</v>
      </c>
      <c r="G23" s="2">
        <v>4.6900000000000004</v>
      </c>
      <c r="H23" s="2">
        <v>2214</v>
      </c>
      <c r="I23" s="2" t="s">
        <v>22</v>
      </c>
      <c r="J23" s="2" t="s">
        <v>22</v>
      </c>
      <c r="K23" s="2" t="s">
        <v>22</v>
      </c>
      <c r="L23" s="2" t="s">
        <v>22</v>
      </c>
      <c r="M23" s="2" t="s">
        <v>22</v>
      </c>
      <c r="N23" s="2" t="s">
        <v>22</v>
      </c>
      <c r="O23" s="2" t="s">
        <v>22</v>
      </c>
      <c r="P23" s="2" t="s">
        <v>22</v>
      </c>
      <c r="Q23" s="2" t="s">
        <v>22</v>
      </c>
      <c r="R23" s="2" t="s">
        <v>22</v>
      </c>
      <c r="S23" s="2" t="s">
        <v>22</v>
      </c>
    </row>
    <row r="24" spans="1:19" x14ac:dyDescent="0.25">
      <c r="A24" s="2" t="s">
        <v>44</v>
      </c>
      <c r="B24" s="2" t="s">
        <v>21</v>
      </c>
      <c r="C24" s="2">
        <v>4.58</v>
      </c>
      <c r="D24" s="2">
        <v>4.55</v>
      </c>
      <c r="E24" s="2">
        <v>4.57</v>
      </c>
      <c r="F24" s="2">
        <v>4.6399999999999997</v>
      </c>
      <c r="G24" s="2">
        <v>4.6900000000000004</v>
      </c>
      <c r="H24" s="2">
        <v>2206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 t="s">
        <v>22</v>
      </c>
      <c r="O24" s="2" t="s">
        <v>22</v>
      </c>
      <c r="P24" s="2" t="s">
        <v>22</v>
      </c>
      <c r="Q24" s="2" t="s">
        <v>22</v>
      </c>
      <c r="R24" s="2" t="s">
        <v>22</v>
      </c>
      <c r="S24" s="2" t="s">
        <v>22</v>
      </c>
    </row>
    <row r="25" spans="1:19" x14ac:dyDescent="0.25">
      <c r="A25" s="2" t="s">
        <v>45</v>
      </c>
      <c r="B25" s="2" t="s">
        <v>21</v>
      </c>
      <c r="C25" s="2">
        <v>4.57</v>
      </c>
      <c r="D25" s="2">
        <v>4.53</v>
      </c>
      <c r="E25" s="2">
        <v>4.5599999999999996</v>
      </c>
      <c r="F25" s="2">
        <v>4.62</v>
      </c>
      <c r="G25" s="2">
        <v>4.66</v>
      </c>
      <c r="H25" s="2">
        <v>2188</v>
      </c>
      <c r="I25" s="2" t="s">
        <v>22</v>
      </c>
      <c r="J25" s="2" t="s">
        <v>22</v>
      </c>
      <c r="K25" s="2" t="s">
        <v>22</v>
      </c>
      <c r="L25" s="2" t="s">
        <v>22</v>
      </c>
      <c r="M25" s="2" t="s">
        <v>22</v>
      </c>
      <c r="N25" s="2" t="s">
        <v>22</v>
      </c>
      <c r="O25" s="2" t="s">
        <v>22</v>
      </c>
      <c r="P25" s="2" t="s">
        <v>22</v>
      </c>
      <c r="Q25" s="2" t="s">
        <v>22</v>
      </c>
      <c r="R25" s="2" t="s">
        <v>22</v>
      </c>
      <c r="S25" s="2" t="s">
        <v>22</v>
      </c>
    </row>
    <row r="26" spans="1:19" x14ac:dyDescent="0.25">
      <c r="A26" s="2" t="s">
        <v>46</v>
      </c>
      <c r="B26" s="2" t="s">
        <v>21</v>
      </c>
      <c r="C26" s="2">
        <v>4.57</v>
      </c>
      <c r="D26" s="2">
        <v>4.55</v>
      </c>
      <c r="E26" s="2">
        <v>4.5599999999999996</v>
      </c>
      <c r="F26" s="2">
        <v>4.62</v>
      </c>
      <c r="G26" s="2">
        <v>4.66</v>
      </c>
      <c r="H26" s="2">
        <v>2291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</row>
    <row r="27" spans="1:19" x14ac:dyDescent="0.25">
      <c r="A27" s="2" t="s">
        <v>22</v>
      </c>
    </row>
    <row r="28" spans="1:19" ht="15.75" thickBot="1" x14ac:dyDescent="0.3">
      <c r="C28" s="3" t="s">
        <v>47</v>
      </c>
    </row>
    <row r="29" spans="1:19" ht="15.75" thickBot="1" x14ac:dyDescent="0.3">
      <c r="B29" s="199" t="s">
        <v>368</v>
      </c>
      <c r="C29" s="200">
        <f>(C2+3)/100</f>
        <v>7.46E-2</v>
      </c>
    </row>
  </sheetData>
  <hyperlinks>
    <hyperlink ref="C28" r:id="rId1" display="https://www.newyorkfed.org/markets/reference-rates/sofr" xr:uid="{802BBB70-D8BF-450E-8DE8-3096ADE40CA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0D82-4736-4AC5-848D-F115ED3BB825}">
  <dimension ref="B1:R43"/>
  <sheetViews>
    <sheetView showGridLines="0" workbookViewId="0"/>
  </sheetViews>
  <sheetFormatPr defaultRowHeight="15" x14ac:dyDescent="0.25"/>
  <cols>
    <col min="2" max="2" width="56" customWidth="1"/>
    <col min="3" max="4" width="13.28515625" style="92" bestFit="1" customWidth="1"/>
    <col min="5" max="6" width="14.28515625" style="92" bestFit="1" customWidth="1"/>
    <col min="7" max="9" width="13.28515625" style="92" bestFit="1" customWidth="1"/>
    <col min="10" max="10" width="11.5703125" style="92" hidden="1" customWidth="1"/>
    <col min="11" max="17" width="13.28515625" style="10" hidden="1" customWidth="1"/>
  </cols>
  <sheetData>
    <row r="1" spans="2:18" ht="15.75" thickBot="1" x14ac:dyDescent="0.3"/>
    <row r="2" spans="2:18" ht="15.75" thickBot="1" x14ac:dyDescent="0.3">
      <c r="I2"/>
      <c r="J2"/>
      <c r="L2" s="122" t="s">
        <v>220</v>
      </c>
      <c r="M2" s="123">
        <v>2.7E-2</v>
      </c>
    </row>
    <row r="3" spans="2:18" x14ac:dyDescent="0.25">
      <c r="I3" s="124"/>
      <c r="J3" s="125"/>
      <c r="M3" s="126"/>
    </row>
    <row r="4" spans="2:18" ht="15.75" thickBot="1" x14ac:dyDescent="0.3">
      <c r="D4" s="74"/>
      <c r="E4" s="74"/>
      <c r="F4" s="74"/>
      <c r="G4" s="74"/>
      <c r="H4" s="74"/>
      <c r="I4" s="74"/>
      <c r="J4" s="127">
        <f>SUM(G6:J6)/F6-1</f>
        <v>-5.6349188137498341E-2</v>
      </c>
      <c r="K4" s="74">
        <f>K6/SUM(G6:J6)-1</f>
        <v>-8.8868421665233566E-4</v>
      </c>
      <c r="L4" s="74">
        <f>L6/K6-1</f>
        <v>4.2328042328042326E-2</v>
      </c>
      <c r="M4" s="74">
        <f>AVERAGE($D4:L4)</f>
        <v>-4.9699433420361165E-3</v>
      </c>
      <c r="N4" s="74">
        <f>AVERAGE($D4:M4)</f>
        <v>-4.9699433420361165E-3</v>
      </c>
      <c r="O4" s="74">
        <f>AVERAGE($D4:N4)</f>
        <v>-4.9699433420361165E-3</v>
      </c>
      <c r="P4" s="74">
        <f>AVERAGE($D4:O4)</f>
        <v>-4.9699433420361165E-3</v>
      </c>
    </row>
    <row r="5" spans="2:18" x14ac:dyDescent="0.25">
      <c r="C5" s="128" t="s">
        <v>191</v>
      </c>
      <c r="D5" s="128" t="s">
        <v>192</v>
      </c>
      <c r="E5" s="128" t="s">
        <v>193</v>
      </c>
      <c r="F5" s="128" t="s">
        <v>194</v>
      </c>
      <c r="G5" s="129" t="s">
        <v>204</v>
      </c>
      <c r="H5" s="130" t="s">
        <v>205</v>
      </c>
      <c r="I5" s="131" t="s">
        <v>206</v>
      </c>
      <c r="J5" s="131" t="s">
        <v>195</v>
      </c>
      <c r="K5" s="132" t="s">
        <v>196</v>
      </c>
      <c r="L5" s="132" t="s">
        <v>197</v>
      </c>
      <c r="M5" s="132" t="s">
        <v>198</v>
      </c>
      <c r="N5" s="132" t="s">
        <v>199</v>
      </c>
      <c r="O5" s="132" t="s">
        <v>200</v>
      </c>
      <c r="P5" s="132" t="s">
        <v>201</v>
      </c>
      <c r="Q5" s="132" t="s">
        <v>202</v>
      </c>
      <c r="R5" s="132"/>
    </row>
    <row r="6" spans="2:18" x14ac:dyDescent="0.25">
      <c r="B6" t="s">
        <v>89</v>
      </c>
      <c r="C6" s="99">
        <f>IFERROR(VLOOKUP($B6,'IS FY21'!$A:$G,COLUMNS('IS FY21'!$A:$G),FALSE),0)</f>
        <v>3192399</v>
      </c>
      <c r="D6" s="99">
        <f>IFERROR(VLOOKUP($B6,'IS FY21'!$A:$G,COLUMNS('IS FY21'!$A:$D),FALSE),0)</f>
        <v>3243224</v>
      </c>
      <c r="E6" s="99">
        <f>IFERROR(VLOOKUP($B6,'IS FY23'!$A:$J,COLUMNS('IS FY23'!$A:$J),FALSE),0)</f>
        <v>3691893</v>
      </c>
      <c r="F6" s="99">
        <f>IFERROR(VLOOKUP($B6,'IS FY23'!$A:$J,COLUMNS('IS FY23'!$A:$D),FALSE),0)</f>
        <v>4009282</v>
      </c>
      <c r="G6" s="100">
        <f>IFERROR(VLOOKUP($B6,'IS Q1-24'!$A:$J,COLUMNS('IS Q1-24'!$A:$D),FALSE),0)</f>
        <v>953969</v>
      </c>
      <c r="H6" s="101">
        <f>IFERROR(VLOOKUP($B6,'IS Q2-24'!$A:$J,COLUMNS('IS Q2-24'!$A:$D),FALSE),0)</f>
        <v>935348</v>
      </c>
      <c r="I6" s="102">
        <f>IFERROR(VLOOKUP($B6,'IS Q3-24'!$A:$J,COLUMNS('IS Q3-24'!$A:$D),FALSE),0)</f>
        <v>979350</v>
      </c>
      <c r="J6" s="64" cm="1">
        <f t="array" ref="J6">(AVERAGE(G6:I6,C6:F6/4))</f>
        <v>914695.21428571432</v>
      </c>
      <c r="K6" s="63">
        <v>3780000</v>
      </c>
      <c r="L6" s="63">
        <v>3940000</v>
      </c>
      <c r="M6" s="63">
        <f>ROUND(L6*(1+L4),-4)</f>
        <v>4110000</v>
      </c>
      <c r="N6" s="63">
        <f>ROUND(M6*(1+M4),-4)</f>
        <v>4090000</v>
      </c>
      <c r="O6" s="63">
        <f>ROUND(N6*(1+N4),-4)</f>
        <v>4070000</v>
      </c>
      <c r="P6" s="63">
        <f>ROUND(O6*(1+O4),-4)</f>
        <v>4050000</v>
      </c>
      <c r="Q6" s="63">
        <f>ROUND(P6*(1+P4),-4)</f>
        <v>4030000</v>
      </c>
    </row>
    <row r="7" spans="2:18" x14ac:dyDescent="0.25">
      <c r="B7" t="s">
        <v>90</v>
      </c>
      <c r="C7" s="99">
        <f>IFERROR(VLOOKUP($B7,'IS FY21'!$A:$G,COLUMNS('IS FY21'!$A:$G),FALSE),0)</f>
        <v>1849077</v>
      </c>
      <c r="D7" s="99">
        <f>IFERROR(VLOOKUP($B7,'IS FY21'!$A:$G,COLUMNS('IS FY21'!$A:$D),FALSE),0)</f>
        <v>1909709</v>
      </c>
      <c r="E7" s="99">
        <f>IFERROR(VLOOKUP($B7,'IS FY23'!$A:$J,COLUMNS('IS FY23'!$A:$J),FALSE),0)</f>
        <v>2133645</v>
      </c>
      <c r="F7" s="99">
        <f>IFERROR(VLOOKUP($B7,'IS FY23'!$A:$J,COLUMNS('IS FY23'!$A:$D),FALSE),0)</f>
        <v>2366317</v>
      </c>
      <c r="G7" s="93">
        <f>IFERROR(VLOOKUP($B7,'IS Q1-24'!$A:$J,COLUMNS('IS Q1-24'!$A:$D),FALSE),0)</f>
        <v>560852</v>
      </c>
      <c r="H7" s="101">
        <f>IFERROR(VLOOKUP($B7,'IS Q2-24'!$A:$J,COLUMNS('IS Q2-24'!$A:$D),FALSE),0)</f>
        <v>546737</v>
      </c>
      <c r="I7" s="102">
        <f>IFERROR(VLOOKUP($B7,'IS Q3-24'!$A:$J,COLUMNS('IS Q3-24'!$A:$D),FALSE),0)</f>
        <v>578903</v>
      </c>
      <c r="J7" s="64">
        <f>(J6*(1-J9))</f>
        <v>535714.92481400969</v>
      </c>
      <c r="K7" s="63">
        <f>ROUND(K6*(1-K9),-4)</f>
        <v>2210000</v>
      </c>
      <c r="L7" s="63">
        <f t="shared" ref="L7:Q7" si="0">ROUND(L6*(1-L9),-4)</f>
        <v>2310000</v>
      </c>
      <c r="M7" s="63">
        <f t="shared" si="0"/>
        <v>2410000</v>
      </c>
      <c r="N7" s="63">
        <f t="shared" si="0"/>
        <v>2400000</v>
      </c>
      <c r="O7" s="63">
        <f t="shared" si="0"/>
        <v>2380000</v>
      </c>
      <c r="P7" s="63">
        <f t="shared" si="0"/>
        <v>2370000</v>
      </c>
      <c r="Q7" s="63">
        <f t="shared" si="0"/>
        <v>2360000</v>
      </c>
    </row>
    <row r="8" spans="2:18" ht="15.75" thickBot="1" x14ac:dyDescent="0.3">
      <c r="B8" s="6" t="s">
        <v>91</v>
      </c>
      <c r="C8" s="133">
        <f>IFERROR(VLOOKUP($B8,'IS FY21'!$A:$G,COLUMNS('IS FY21'!$A:$G),FALSE),0)</f>
        <v>1343322</v>
      </c>
      <c r="D8" s="133">
        <f>IFERROR(VLOOKUP($B8,'IS FY21'!$A:$G,COLUMNS('IS FY21'!$A:$D),FALSE),0)</f>
        <v>1333515</v>
      </c>
      <c r="E8" s="133">
        <f>IFERROR(VLOOKUP($B8,'IS FY23'!$A:$J,COLUMNS('IS FY23'!$A:$J),FALSE),0)</f>
        <v>1558248</v>
      </c>
      <c r="F8" s="133">
        <f>IFERROR(VLOOKUP($B8,'IS FY23'!$A:$J,COLUMNS('IS FY23'!$A:$D),FALSE),0)</f>
        <v>1642965</v>
      </c>
      <c r="G8" s="134">
        <f>IFERROR(VLOOKUP($B8,'IS Q1-24'!$A:$J,COLUMNS('IS Q1-24'!$A:$D),FALSE),0)</f>
        <v>393117</v>
      </c>
      <c r="H8" s="133">
        <f>IFERROR(VLOOKUP($B8,'IS Q2-24'!$A:$J,COLUMNS('IS Q2-24'!$A:$D),FALSE),0)</f>
        <v>388611</v>
      </c>
      <c r="I8" s="135">
        <f>IFERROR(VLOOKUP($B8,'IS Q3-24'!$A:$J,COLUMNS('IS Q3-24'!$A:$D),FALSE),0)</f>
        <v>400447</v>
      </c>
      <c r="J8" s="136">
        <f>J6-J7</f>
        <v>378980.28947170463</v>
      </c>
      <c r="K8" s="72">
        <f t="shared" ref="K8:Q8" si="1">K6-K7</f>
        <v>1570000</v>
      </c>
      <c r="L8" s="72">
        <f t="shared" si="1"/>
        <v>1630000</v>
      </c>
      <c r="M8" s="72">
        <f t="shared" si="1"/>
        <v>1700000</v>
      </c>
      <c r="N8" s="72">
        <f t="shared" si="1"/>
        <v>1690000</v>
      </c>
      <c r="O8" s="72">
        <f t="shared" si="1"/>
        <v>1690000</v>
      </c>
      <c r="P8" s="72">
        <f t="shared" si="1"/>
        <v>1680000</v>
      </c>
      <c r="Q8" s="72">
        <f t="shared" si="1"/>
        <v>1670000</v>
      </c>
    </row>
    <row r="9" spans="2:18" ht="15.75" thickTop="1" x14ac:dyDescent="0.25">
      <c r="B9" s="4" t="s">
        <v>218</v>
      </c>
      <c r="C9" s="137">
        <f>C8/C6</f>
        <v>0.42078762711052098</v>
      </c>
      <c r="D9" s="137">
        <f t="shared" ref="D9:I9" si="2">D8/D6</f>
        <v>0.41116956460608334</v>
      </c>
      <c r="E9" s="137">
        <f t="shared" si="2"/>
        <v>0.4220729040630376</v>
      </c>
      <c r="F9" s="137">
        <f t="shared" si="2"/>
        <v>0.40979033153567146</v>
      </c>
      <c r="G9" s="138">
        <f t="shared" si="2"/>
        <v>0.41208571767007102</v>
      </c>
      <c r="H9" s="139">
        <f t="shared" si="2"/>
        <v>0.41547210236190169</v>
      </c>
      <c r="I9" s="140">
        <f t="shared" si="2"/>
        <v>0.40889059069791189</v>
      </c>
      <c r="J9" s="141">
        <f>AVERAGE($C$9:$I$9)</f>
        <v>0.41432411972074251</v>
      </c>
      <c r="K9" s="81">
        <f t="shared" ref="K9:Q9" si="3">AVERAGE($C$9:$I$9)</f>
        <v>0.41432411972074251</v>
      </c>
      <c r="L9" s="81">
        <f t="shared" si="3"/>
        <v>0.41432411972074251</v>
      </c>
      <c r="M9" s="81">
        <f t="shared" si="3"/>
        <v>0.41432411972074251</v>
      </c>
      <c r="N9" s="81">
        <f t="shared" si="3"/>
        <v>0.41432411972074251</v>
      </c>
      <c r="O9" s="81">
        <f t="shared" si="3"/>
        <v>0.41432411972074251</v>
      </c>
      <c r="P9" s="81">
        <f t="shared" si="3"/>
        <v>0.41432411972074251</v>
      </c>
      <c r="Q9" s="81">
        <f t="shared" si="3"/>
        <v>0.41432411972074251</v>
      </c>
    </row>
    <row r="10" spans="2:18" x14ac:dyDescent="0.25">
      <c r="B10" s="4"/>
      <c r="C10" s="104"/>
      <c r="D10" s="104"/>
      <c r="E10" s="104"/>
      <c r="F10" s="104"/>
      <c r="G10" s="96"/>
      <c r="H10" s="114"/>
      <c r="I10" s="142"/>
      <c r="J10" s="98"/>
      <c r="K10" s="143"/>
      <c r="L10" s="143"/>
      <c r="M10" s="143"/>
      <c r="N10" s="143"/>
      <c r="O10" s="143"/>
      <c r="P10" s="143"/>
      <c r="Q10" s="143"/>
    </row>
    <row r="11" spans="2:18" x14ac:dyDescent="0.25">
      <c r="B11" t="s">
        <v>92</v>
      </c>
      <c r="C11" s="99">
        <f>IFERROR(VLOOKUP($B11,'IS FY21'!$A:$G,COLUMNS('IS FY21'!$A:$G),FALSE),0)</f>
        <v>975553</v>
      </c>
      <c r="D11" s="99">
        <f>IFERROR(VLOOKUP($B11,'IS FY21'!$A:$G,COLUMNS('IS FY21'!$A:$D),FALSE),0)</f>
        <v>994468</v>
      </c>
      <c r="E11" s="99">
        <f>IFERROR(VLOOKUP($B11,'IS FY23'!$A:$J,COLUMNS('IS FY23'!$A:$J),FALSE),0)</f>
        <v>1083862</v>
      </c>
      <c r="F11" s="99">
        <f>IFERROR(VLOOKUP($B11,'IS FY23'!$A:$J,COLUMNS('IS FY23'!$A:$D),FALSE),0)</f>
        <v>1151295</v>
      </c>
      <c r="G11" s="93">
        <f>IFERROR(VLOOKUP($B11,'IS Q1-24'!$A:$J,COLUMNS('IS Q1-24'!$A:$D),FALSE),0)</f>
        <v>290633</v>
      </c>
      <c r="H11" s="101">
        <f>IFERROR(VLOOKUP($B11,'IS Q2-24'!$A:$J,COLUMNS('IS Q2-24'!$A:$D),FALSE),0)</f>
        <v>291235</v>
      </c>
      <c r="I11" s="102">
        <f>IFERROR(VLOOKUP($B11,'IS Q3-24'!$A:$J,COLUMNS('IS Q3-24'!$A:$D),FALSE),0)</f>
        <v>288991</v>
      </c>
      <c r="J11" s="64" cm="1">
        <f t="array" ref="J11">(AVERAGE(G11:I11,C11:F11/4))</f>
        <v>274593.35714285716</v>
      </c>
      <c r="K11" s="63">
        <f>ROUND(K16*K6,-4)</f>
        <v>1140000</v>
      </c>
      <c r="L11" s="63">
        <f t="shared" ref="L11:Q11" si="4">ROUND(L16*L6,-4)</f>
        <v>1180000</v>
      </c>
      <c r="M11" s="63">
        <f t="shared" si="4"/>
        <v>1240000</v>
      </c>
      <c r="N11" s="63">
        <f t="shared" si="4"/>
        <v>1230000</v>
      </c>
      <c r="O11" s="63">
        <f t="shared" si="4"/>
        <v>1220000</v>
      </c>
      <c r="P11" s="63">
        <f t="shared" si="4"/>
        <v>1220000</v>
      </c>
      <c r="Q11" s="63">
        <f t="shared" si="4"/>
        <v>1210000</v>
      </c>
    </row>
    <row r="12" spans="2:18" x14ac:dyDescent="0.25">
      <c r="B12" t="s">
        <v>156</v>
      </c>
      <c r="C12" s="99">
        <v>0</v>
      </c>
      <c r="D12" s="99">
        <f>IFERROR(VLOOKUP($B12,'IS FY21'!$A:$G,COLUMNS('IS FY21'!$A:$D),FALSE),0)</f>
        <v>5886</v>
      </c>
      <c r="E12" s="99">
        <v>0</v>
      </c>
      <c r="F12" s="99">
        <v>0</v>
      </c>
      <c r="G12" s="93">
        <f>IFERROR(VLOOKUP($B12,'IS Q1-24'!$A:$J,COLUMNS('IS Q1-24'!$A:$D),FALSE),0)</f>
        <v>0</v>
      </c>
      <c r="H12" s="101">
        <f>IFERROR(VLOOKUP($B12,'IS Q2-24'!$A:$J,COLUMNS('IS Q2-24'!$A:$D),FALSE),0)</f>
        <v>0</v>
      </c>
      <c r="I12" s="102">
        <f>IFERROR(VLOOKUP($B12,'IS Q3-24'!$A:$J,COLUMNS('IS Q3-24'!$A:$D),FALSE),0)</f>
        <v>0</v>
      </c>
      <c r="J12" s="64">
        <v>0</v>
      </c>
      <c r="K12" s="63">
        <v>0</v>
      </c>
      <c r="L12" s="63">
        <v>0</v>
      </c>
      <c r="M12" s="63">
        <v>0</v>
      </c>
      <c r="N12" s="63">
        <v>0</v>
      </c>
      <c r="O12" s="63">
        <v>0</v>
      </c>
      <c r="P12" s="63">
        <v>0</v>
      </c>
      <c r="Q12" s="63">
        <v>0</v>
      </c>
    </row>
    <row r="13" spans="2:18" x14ac:dyDescent="0.25">
      <c r="B13" t="s">
        <v>186</v>
      </c>
      <c r="C13" s="99">
        <f>IFERROR(VLOOKUP($B13,'IS FY21'!$A:$G,COLUMNS('IS FY21'!$A:$G),FALSE),0)</f>
        <v>17029</v>
      </c>
      <c r="D13" s="99">
        <f>IFERROR(VLOOKUP($B13,'IS FY21'!$A:$G,COLUMNS('IS FY21'!$A:$D),FALSE),0)</f>
        <v>31392</v>
      </c>
      <c r="E13" s="99">
        <f>IFERROR(VLOOKUP($B13,'IS FY23'!$A:$J,COLUMNS('IS FY23'!$A:$J),FALSE),0)</f>
        <v>15805</v>
      </c>
      <c r="F13" s="99">
        <f>IFERROR(VLOOKUP($B13,'IS FY23'!$A:$J,COLUMNS('IS FY23'!$A:$D),FALSE),0)</f>
        <v>7937</v>
      </c>
      <c r="G13" s="93">
        <f>IFERROR(VLOOKUP($B13,'IS Q1-24'!$A:$J,COLUMNS('IS Q1-24'!$A:$D),FALSE),0)</f>
        <v>916</v>
      </c>
      <c r="H13" s="101">
        <f>IFERROR(VLOOKUP($B13,'IS Q2-24'!$A:$J,COLUMNS('IS Q2-24'!$A:$D),FALSE),0)</f>
        <v>6181</v>
      </c>
      <c r="I13" s="102">
        <f>IFERROR(VLOOKUP($B13,'IS Q3-24'!$A:$J,COLUMNS('IS Q3-24'!$A:$D),FALSE),0)</f>
        <v>4690</v>
      </c>
      <c r="J13" s="64" cm="1">
        <f t="array" ref="J13">(AVERAGE(G13:I13,C13:F13/4))</f>
        <v>4261.1071428571431</v>
      </c>
      <c r="K13" s="63">
        <f>AVERAGE(SUM($G13:$J13),$C13:$F13)*(1+$M$2)</f>
        <v>18118.561407142857</v>
      </c>
      <c r="L13" s="63">
        <f t="shared" ref="L13:Q13" si="5">K13*(1+$M$2)</f>
        <v>18607.762565135712</v>
      </c>
      <c r="M13" s="63">
        <f t="shared" si="5"/>
        <v>19110.172154394375</v>
      </c>
      <c r="N13" s="63">
        <f t="shared" si="5"/>
        <v>19626.14680256302</v>
      </c>
      <c r="O13" s="63">
        <f t="shared" si="5"/>
        <v>20156.05276623222</v>
      </c>
      <c r="P13" s="63">
        <f t="shared" si="5"/>
        <v>20700.266190920487</v>
      </c>
      <c r="Q13" s="63">
        <f t="shared" si="5"/>
        <v>21259.173378075338</v>
      </c>
    </row>
    <row r="14" spans="2:18" x14ac:dyDescent="0.25">
      <c r="B14" t="s">
        <v>157</v>
      </c>
      <c r="C14" s="99">
        <f>IFERROR(VLOOKUP($B14,'IS FY21'!$A:$G,COLUMNS('IS FY21'!$A:$G),FALSE),0)</f>
        <v>0</v>
      </c>
      <c r="D14" s="99">
        <f>IFERROR(VLOOKUP($B14,'IS FY21'!$A:$G,COLUMNS('IS FY21'!$A:$D),FALSE),0)</f>
        <v>0</v>
      </c>
      <c r="E14" s="99">
        <f>IFERROR(VLOOKUP($B14,'IS FY23'!$A:$J,COLUMNS('IS FY23'!$A:$J),FALSE),0)</f>
        <v>-10132</v>
      </c>
      <c r="F14" s="99">
        <v>0</v>
      </c>
      <c r="G14" s="93">
        <f>IFERROR(VLOOKUP($B14,'IS Q1-24'!$A:$J,COLUMNS('IS Q1-24'!$A:$D),FALSE),0)</f>
        <v>0</v>
      </c>
      <c r="H14" s="101">
        <f>IFERROR(VLOOKUP($B14,'IS Q2-24'!$A:$J,COLUMNS('IS Q2-24'!$A:$D),FALSE),0)</f>
        <v>0</v>
      </c>
      <c r="I14" s="102">
        <f>IFERROR(VLOOKUP($B14,'IS Q3-24'!$A:$J,COLUMNS('IS Q3-24'!$A:$D),FALSE),0)</f>
        <v>0</v>
      </c>
      <c r="J14" s="64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</row>
    <row r="15" spans="2:18" ht="15.75" thickBot="1" x14ac:dyDescent="0.3">
      <c r="B15" s="6" t="s">
        <v>94</v>
      </c>
      <c r="C15" s="133">
        <f>IFERROR(VLOOKUP($B15,'IS FY21'!$A:$G,COLUMNS('IS FY21'!$A:$G),FALSE),0)</f>
        <v>350740</v>
      </c>
      <c r="D15" s="133">
        <f>IFERROR(VLOOKUP($B15,'IS FY21'!$A:$G,COLUMNS('IS FY21'!$A:$D),FALSE),0)</f>
        <v>301769</v>
      </c>
      <c r="E15" s="133">
        <f>IFERROR(VLOOKUP($B15,'IS FY23'!$A:$J,COLUMNS('IS FY23'!$A:$J),FALSE),0)</f>
        <v>468713</v>
      </c>
      <c r="F15" s="133">
        <f>IFERROR(VLOOKUP($B15,'IS FY23'!$A:$J,COLUMNS('IS FY23'!$A:$D),FALSE),0)</f>
        <v>483733</v>
      </c>
      <c r="G15" s="134">
        <f>IFERROR(VLOOKUP($B15,'IS Q1-24'!$A:$J,COLUMNS('IS Q1-24'!$A:$D),FALSE),0)</f>
        <v>101568</v>
      </c>
      <c r="H15" s="133">
        <f>IFERROR(VLOOKUP($B15,'IS Q2-24'!$A:$J,COLUMNS('IS Q2-24'!$A:$D),FALSE),0)</f>
        <v>91195</v>
      </c>
      <c r="I15" s="135">
        <f>IFERROR(VLOOKUP($B15,'IS Q3-24'!$A:$J,COLUMNS('IS Q3-24'!$A:$D),FALSE),0)</f>
        <v>106766</v>
      </c>
      <c r="J15" s="136">
        <f>J8-SUM(J11:J14)</f>
        <v>100125.82518599031</v>
      </c>
      <c r="K15" s="72">
        <f t="shared" ref="K15:Q15" si="6">K8-SUM(K11:K14)</f>
        <v>411881.43859285722</v>
      </c>
      <c r="L15" s="72">
        <f t="shared" si="6"/>
        <v>431392.23743486428</v>
      </c>
      <c r="M15" s="72">
        <f t="shared" si="6"/>
        <v>440889.82784560556</v>
      </c>
      <c r="N15" s="72">
        <f t="shared" si="6"/>
        <v>440373.85319743701</v>
      </c>
      <c r="O15" s="72">
        <f t="shared" si="6"/>
        <v>449843.94723376771</v>
      </c>
      <c r="P15" s="72">
        <f t="shared" si="6"/>
        <v>439299.73380907951</v>
      </c>
      <c r="Q15" s="72">
        <f t="shared" si="6"/>
        <v>438740.82662192476</v>
      </c>
    </row>
    <row r="16" spans="2:18" ht="15.75" thickTop="1" x14ac:dyDescent="0.25">
      <c r="B16" s="4" t="s">
        <v>217</v>
      </c>
      <c r="C16" s="137">
        <f>C11/C6</f>
        <v>0.30558617516168873</v>
      </c>
      <c r="D16" s="137">
        <f t="shared" ref="D16:J16" si="7">D11/D6</f>
        <v>0.30662945266808583</v>
      </c>
      <c r="E16" s="137">
        <f t="shared" si="7"/>
        <v>0.29357893091701193</v>
      </c>
      <c r="F16" s="137">
        <f t="shared" si="7"/>
        <v>0.28715740125039846</v>
      </c>
      <c r="G16" s="138">
        <f t="shared" si="7"/>
        <v>0.3046566502685098</v>
      </c>
      <c r="H16" s="139">
        <f t="shared" si="7"/>
        <v>0.31136539555331277</v>
      </c>
      <c r="I16" s="140">
        <f t="shared" si="7"/>
        <v>0.29508449481799154</v>
      </c>
      <c r="J16" s="141">
        <f t="shared" si="7"/>
        <v>0.30020202670163437</v>
      </c>
      <c r="K16" s="81">
        <f>AVERAGE($C$16:$J$16)</f>
        <v>0.30053256591732919</v>
      </c>
      <c r="L16" s="81">
        <f t="shared" ref="L16:Q16" si="8">AVERAGE($C$16:$J$16)</f>
        <v>0.30053256591732919</v>
      </c>
      <c r="M16" s="81">
        <f t="shared" si="8"/>
        <v>0.30053256591732919</v>
      </c>
      <c r="N16" s="81">
        <f t="shared" si="8"/>
        <v>0.30053256591732919</v>
      </c>
      <c r="O16" s="81">
        <f t="shared" si="8"/>
        <v>0.30053256591732919</v>
      </c>
      <c r="P16" s="81">
        <f t="shared" si="8"/>
        <v>0.30053256591732919</v>
      </c>
      <c r="Q16" s="81">
        <f t="shared" si="8"/>
        <v>0.30053256591732919</v>
      </c>
    </row>
    <row r="17" spans="2:17" x14ac:dyDescent="0.25">
      <c r="B17" s="4"/>
      <c r="C17" s="104"/>
      <c r="D17" s="104"/>
      <c r="E17" s="104"/>
      <c r="F17" s="104"/>
      <c r="G17" s="96"/>
      <c r="H17" s="114"/>
      <c r="I17" s="142"/>
      <c r="J17" s="98"/>
      <c r="K17" s="69"/>
      <c r="L17" s="69"/>
      <c r="M17" s="69"/>
      <c r="N17" s="69"/>
      <c r="O17" s="69"/>
      <c r="P17" s="69"/>
      <c r="Q17" s="69"/>
    </row>
    <row r="18" spans="2:17" x14ac:dyDescent="0.25">
      <c r="B18" t="s">
        <v>95</v>
      </c>
      <c r="C18" s="144">
        <f>IFERROR(VLOOKUP($B18,'IS FY21'!$A:$G,COLUMNS('IS FY21'!$A:$G),FALSE),0)</f>
        <v>0</v>
      </c>
      <c r="D18" s="144">
        <f>IFERROR(VLOOKUP($B18,'IS FY21'!$A:$G,COLUMNS('IS FY21'!$A:$D),FALSE),0)</f>
        <v>0</v>
      </c>
      <c r="E18" s="144">
        <f>IFERROR(VLOOKUP($B18,'IS FY23'!$A:$J,COLUMNS('IS FY23'!$A:$J),FALSE),0)</f>
        <v>0</v>
      </c>
      <c r="F18" s="144">
        <f>IFERROR(VLOOKUP($B18,'IS FY23'!$A:$J,COLUMNS('IS FY23'!$A:$D),FALSE),0)</f>
        <v>0</v>
      </c>
      <c r="G18" s="106">
        <f>IFERROR(VLOOKUP($B18,'IS Q1-24'!$A:$J,COLUMNS('IS Q1-24'!$A:$D),FALSE),0)</f>
        <v>0</v>
      </c>
      <c r="H18" s="145">
        <f>IFERROR(VLOOKUP($B18,'IS Q2-24'!$A:$J,COLUMNS('IS Q2-24'!$A:$D),FALSE),0)</f>
        <v>0</v>
      </c>
      <c r="I18" s="146">
        <f>IFERROR(VLOOKUP($B18,'IS Q3-24'!$A:$J,COLUMNS('IS Q3-24'!$A:$D),FALSE),0)</f>
        <v>0</v>
      </c>
      <c r="J18" s="108">
        <v>0</v>
      </c>
      <c r="K18" s="79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</row>
    <row r="19" spans="2:17" x14ac:dyDescent="0.25">
      <c r="B19" t="s">
        <v>96</v>
      </c>
      <c r="C19" s="99">
        <f>IFERROR(VLOOKUP($B19,'IS FY21'!$A:$G,COLUMNS('IS FY21'!$A:$G),FALSE),0)</f>
        <v>-16673</v>
      </c>
      <c r="D19" s="99">
        <f>IFERROR(VLOOKUP($B19,'IS FY21'!$A:$G,COLUMNS('IS FY21'!$A:$D),FALSE),0)</f>
        <v>-14510</v>
      </c>
      <c r="E19" s="99">
        <f>IFERROR(VLOOKUP($B19,'IS FY23'!$A:$J,COLUMNS('IS FY23'!$A:$J),FALSE),0)</f>
        <v>-17599</v>
      </c>
      <c r="F19" s="99">
        <f>IFERROR(VLOOKUP($B19,'IS FY23'!$A:$J,COLUMNS('IS FY23'!$A:$D),FALSE),0)</f>
        <v>-22543</v>
      </c>
      <c r="G19" s="93">
        <f>IFERROR(VLOOKUP($B19,'IS Q1-24'!$A:$J,COLUMNS('IS Q1-24'!$A:$D),FALSE),0)</f>
        <v>-5320</v>
      </c>
      <c r="H19" s="101">
        <f>IFERROR(VLOOKUP($B19,'IS Q2-24'!$A:$J,COLUMNS('IS Q2-24'!$A:$D),FALSE),0)</f>
        <v>-6951</v>
      </c>
      <c r="I19" s="102">
        <f>IFERROR(VLOOKUP($B19,'IS Q3-24'!$A:$J,COLUMNS('IS Q3-24'!$A:$D),FALSE),0)</f>
        <v>-6884</v>
      </c>
      <c r="J19" s="64">
        <f>-'Balance Sheet NWC (Base)'!I25*($J$2/4)</f>
        <v>0</v>
      </c>
      <c r="K19" s="92">
        <f>-'Balance Sheet NWC (Base)'!J25*($J$2)</f>
        <v>0</v>
      </c>
      <c r="L19" s="92">
        <f>-'Balance Sheet NWC (Base)'!K25*($J$2)</f>
        <v>0</v>
      </c>
      <c r="M19" s="92">
        <f>-'Balance Sheet NWC (Base)'!L25*($J$2)</f>
        <v>0</v>
      </c>
      <c r="N19" s="92">
        <f>-'Balance Sheet NWC (Base)'!M25*($J$2)</f>
        <v>0</v>
      </c>
      <c r="O19" s="92">
        <f>-'Balance Sheet NWC (Base)'!N25*($J$2)</f>
        <v>0</v>
      </c>
      <c r="P19" s="92">
        <f>-'Balance Sheet NWC (Base)'!O25*($J$2)</f>
        <v>0</v>
      </c>
      <c r="Q19" s="92">
        <f>-'Balance Sheet NWC (Base)'!P25*($J$2)</f>
        <v>0</v>
      </c>
    </row>
    <row r="20" spans="2:17" x14ac:dyDescent="0.25">
      <c r="B20" t="s">
        <v>97</v>
      </c>
      <c r="C20" s="99">
        <f>IFERROR(VLOOKUP($B20,'IS FY21'!$A:$G,COLUMNS('IS FY21'!$A:$G),FALSE),0)</f>
        <v>333</v>
      </c>
      <c r="D20" s="99">
        <f>IFERROR(VLOOKUP($B20,'IS FY21'!$A:$G,COLUMNS('IS FY21'!$A:$D),FALSE),0)</f>
        <v>66</v>
      </c>
      <c r="E20" s="99">
        <f>IFERROR(VLOOKUP($B20,'IS FY23'!$A:$J,COLUMNS('IS FY23'!$A:$J),FALSE),0)</f>
        <v>150</v>
      </c>
      <c r="F20" s="99">
        <f>IFERROR(VLOOKUP($B20,'IS FY23'!$A:$J,COLUMNS('IS FY23'!$A:$D),FALSE),0)</f>
        <v>1034</v>
      </c>
      <c r="G20" s="93">
        <f>IFERROR(VLOOKUP($B20,'IS Q1-24'!$A:$J,COLUMNS('IS Q1-24'!$A:$D),FALSE),0)</f>
        <v>125</v>
      </c>
      <c r="H20" s="101">
        <f>IFERROR(VLOOKUP($B20,'IS Q2-24'!$A:$J,COLUMNS('IS Q2-24'!$A:$D),FALSE),0)</f>
        <v>43</v>
      </c>
      <c r="I20" s="102">
        <f>IFERROR(VLOOKUP($B20,'IS Q3-24'!$A:$J,COLUMNS('IS Q3-24'!$A:$D),FALSE),0)</f>
        <v>134</v>
      </c>
      <c r="J20" s="64" cm="1">
        <f t="array" ref="J20">(AVERAGE(G20:I20,C20:F20/4))</f>
        <v>99.678571428571431</v>
      </c>
      <c r="K20" s="92">
        <f>AVERAGE(SUM($G20:$J20),$C20:$F20)*(1+$M$2)</f>
        <v>407.65297857142855</v>
      </c>
      <c r="L20" s="63">
        <f>K20*(1+$M$2)</f>
        <v>418.6596089928571</v>
      </c>
      <c r="M20" s="63">
        <f t="shared" ref="M20:Q21" si="9">L20*(1+$M$2)</f>
        <v>429.96341843566421</v>
      </c>
      <c r="N20" s="63">
        <f t="shared" si="9"/>
        <v>441.5724307334271</v>
      </c>
      <c r="O20" s="63">
        <f t="shared" si="9"/>
        <v>453.49488636322957</v>
      </c>
      <c r="P20" s="63">
        <f t="shared" si="9"/>
        <v>465.7392482950367</v>
      </c>
      <c r="Q20" s="63">
        <f t="shared" si="9"/>
        <v>478.31420799900263</v>
      </c>
    </row>
    <row r="21" spans="2:17" x14ac:dyDescent="0.25">
      <c r="B21" t="s">
        <v>176</v>
      </c>
      <c r="C21" s="99">
        <f>IFERROR(VLOOKUP($B21,'IS FY21'!$A:$G,COLUMNS('IS FY21'!$A:$G),FALSE),0)</f>
        <v>-150</v>
      </c>
      <c r="D21" s="99">
        <f>IFERROR(VLOOKUP($B21,'IS FY21'!$A:$G,COLUMNS('IS FY21'!$A:$D),FALSE),0)</f>
        <v>1054</v>
      </c>
      <c r="E21" s="99">
        <f>IFERROR(VLOOKUP($B21,'IS FY23'!$A:$J,COLUMNS('IS FY23'!$A:$J),FALSE),0)</f>
        <v>-132</v>
      </c>
      <c r="F21" s="99">
        <f>IFERROR(VLOOKUP($B21,'IS FY23'!$A:$J,COLUMNS('IS FY23'!$A:$D),FALSE),0)</f>
        <v>-6068</v>
      </c>
      <c r="G21" s="93">
        <f>IFERROR(VLOOKUP($B21,'IS Q1-24'!$A:$J,COLUMNS('IS Q1-24'!$A:$D),FALSE),0)</f>
        <v>-5055</v>
      </c>
      <c r="H21" s="101">
        <f>IFERROR(VLOOKUP($B21,'IS Q2-24'!$A:$J,COLUMNS('IS Q2-24'!$A:$D),FALSE),0)</f>
        <v>-4332</v>
      </c>
      <c r="I21" s="102">
        <f>IFERROR(VLOOKUP($B21,'IS Q3-24'!$A:$J,COLUMNS('IS Q3-24'!$A:$D),FALSE),0)</f>
        <v>-4680</v>
      </c>
      <c r="J21" s="64" cm="1">
        <f t="array" ref="J21">(AVERAGE(G21:I21,C21:F21/4))</f>
        <v>-2198.7142857142858</v>
      </c>
      <c r="K21" s="92">
        <f>AVERAGE(SUM($G21:$J21),$C21:$F21)*(1+$M$2)</f>
        <v>-4428.7761142857144</v>
      </c>
      <c r="L21" s="92">
        <f>K21*(1+$M$2)</f>
        <v>-4548.3530693714283</v>
      </c>
      <c r="M21" s="92">
        <f t="shared" si="9"/>
        <v>-4671.1586022444562</v>
      </c>
      <c r="N21" s="92">
        <f t="shared" si="9"/>
        <v>-4797.2798845050565</v>
      </c>
      <c r="O21" s="92">
        <f t="shared" si="9"/>
        <v>-4926.8064413866923</v>
      </c>
      <c r="P21" s="92">
        <f t="shared" si="9"/>
        <v>-5059.8302153041323</v>
      </c>
      <c r="Q21" s="92">
        <f t="shared" si="9"/>
        <v>-5196.4456311173435</v>
      </c>
    </row>
    <row r="22" spans="2:17" s="4" customFormat="1" x14ac:dyDescent="0.25">
      <c r="B22" s="4" t="s">
        <v>98</v>
      </c>
      <c r="C22" s="104">
        <f>IFERROR(VLOOKUP($B22,'IS FY21'!$A:$G,COLUMNS('IS FY21'!$A:$G),FALSE),0)</f>
        <v>-16490</v>
      </c>
      <c r="D22" s="104">
        <f>IFERROR(VLOOKUP($B22,'IS FY21'!$A:$G,COLUMNS('IS FY21'!$A:$D),FALSE),0)</f>
        <v>-13390</v>
      </c>
      <c r="E22" s="104">
        <f>IFERROR(VLOOKUP($B22,'IS FY23'!$A:$J,COLUMNS('IS FY23'!$A:$J),FALSE),0)</f>
        <v>-17581</v>
      </c>
      <c r="F22" s="104">
        <f>IFERROR(VLOOKUP($B22,'IS FY23'!$A:$J,COLUMNS('IS FY23'!$A:$D),FALSE),0)</f>
        <v>-27577</v>
      </c>
      <c r="G22" s="96">
        <f>IFERROR(VLOOKUP($B22,'IS Q1-24'!$A:$J,COLUMNS('IS Q1-24'!$A:$D),FALSE),0)</f>
        <v>-10250</v>
      </c>
      <c r="H22" s="114">
        <f>IFERROR(VLOOKUP($B22,'IS Q2-24'!$A:$J,COLUMNS('IS Q2-24'!$A:$D),FALSE),0)</f>
        <v>-11240</v>
      </c>
      <c r="I22" s="142">
        <f>IFERROR(VLOOKUP($B22,'IS Q3-24'!$A:$J,COLUMNS('IS Q3-24'!$A:$D),FALSE),0)</f>
        <v>-11430</v>
      </c>
      <c r="J22" s="98">
        <f>J19+J20+J21</f>
        <v>-2099.0357142857142</v>
      </c>
      <c r="K22" s="95">
        <f t="shared" ref="K22:Q22" si="10">SUM(K18:K21)</f>
        <v>-4021.123135714286</v>
      </c>
      <c r="L22" s="95">
        <f t="shared" si="10"/>
        <v>-4129.6934603785712</v>
      </c>
      <c r="M22" s="95">
        <f t="shared" si="10"/>
        <v>-4241.1951838087916</v>
      </c>
      <c r="N22" s="95">
        <f t="shared" si="10"/>
        <v>-4355.7074537716298</v>
      </c>
      <c r="O22" s="95">
        <f t="shared" si="10"/>
        <v>-4473.3115550234625</v>
      </c>
      <c r="P22" s="95">
        <f t="shared" si="10"/>
        <v>-4594.0909670090959</v>
      </c>
      <c r="Q22" s="95">
        <f t="shared" si="10"/>
        <v>-4718.1314231183405</v>
      </c>
    </row>
    <row r="23" spans="2:17" ht="15.75" thickBot="1" x14ac:dyDescent="0.3">
      <c r="B23" s="6" t="s">
        <v>99</v>
      </c>
      <c r="C23" s="133">
        <f>IFERROR(VLOOKUP($B23,'IS FY21'!$A:$G,COLUMNS('IS FY21'!$A:$G),FALSE),0)</f>
        <v>334250</v>
      </c>
      <c r="D23" s="133">
        <f>IFERROR(VLOOKUP($B23,'IS FY21'!$A:$G,COLUMNS('IS FY21'!$A:$D),FALSE),0)</f>
        <v>288379</v>
      </c>
      <c r="E23" s="133">
        <f>IFERROR(VLOOKUP($B23,'IS FY23'!$A:$J,COLUMNS('IS FY23'!$A:$J),FALSE),0)</f>
        <v>451132</v>
      </c>
      <c r="F23" s="133">
        <f>IFERROR(VLOOKUP($B23,'IS FY23'!$A:$J,COLUMNS('IS FY23'!$A:$D),FALSE),0)</f>
        <v>456156</v>
      </c>
      <c r="G23" s="134">
        <f>IFERROR(VLOOKUP($B23,'IS Q1-24'!$A:$J,COLUMNS('IS Q1-24'!$A:$D),FALSE),0)</f>
        <v>91318</v>
      </c>
      <c r="H23" s="133">
        <f>IFERROR(VLOOKUP($B23,'IS Q2-24'!$A:$J,COLUMNS('IS Q2-24'!$A:$D),FALSE),0)</f>
        <v>79955</v>
      </c>
      <c r="I23" s="135">
        <f>IFERROR(VLOOKUP($B23,'IS Q3-24'!$A:$J,COLUMNS('IS Q3-24'!$A:$D),FALSE),0)</f>
        <v>95336</v>
      </c>
      <c r="J23" s="136">
        <f>J15+J22</f>
        <v>98026.7894717046</v>
      </c>
      <c r="K23" s="147">
        <f>K15+K22</f>
        <v>407860.31545714295</v>
      </c>
      <c r="L23" s="147">
        <f t="shared" ref="L23:Q23" si="11">L15+L22</f>
        <v>427262.54397448571</v>
      </c>
      <c r="M23" s="147">
        <f t="shared" si="11"/>
        <v>436648.63266179676</v>
      </c>
      <c r="N23" s="147">
        <f t="shared" si="11"/>
        <v>436018.1457436654</v>
      </c>
      <c r="O23" s="147">
        <f t="shared" si="11"/>
        <v>445370.63567874423</v>
      </c>
      <c r="P23" s="147">
        <f t="shared" si="11"/>
        <v>434705.64284207043</v>
      </c>
      <c r="Q23" s="147">
        <f t="shared" si="11"/>
        <v>434022.69519880641</v>
      </c>
    </row>
    <row r="24" spans="2:17" ht="15.75" thickTop="1" x14ac:dyDescent="0.25">
      <c r="B24" t="s">
        <v>100</v>
      </c>
      <c r="C24" s="99">
        <f>IFERROR(VLOOKUP($B24,'IS FY21'!$A:$G,COLUMNS('IS FY21'!$A:$G),FALSE),0)</f>
        <v>82492</v>
      </c>
      <c r="D24" s="99">
        <f>IFERROR(VLOOKUP($B24,'IS FY21'!$A:$G,COLUMNS('IS FY21'!$A:$D),FALSE),0)</f>
        <v>70442</v>
      </c>
      <c r="E24" s="99">
        <f>IFERROR(VLOOKUP($B24,'IS FY23'!$A:$J,COLUMNS('IS FY23'!$A:$J),FALSE),0)</f>
        <v>110650</v>
      </c>
      <c r="F24" s="99">
        <f>IFERROR(VLOOKUP($B24,'IS FY23'!$A:$J,COLUMNS('IS FY23'!$A:$D),FALSE),0)</f>
        <v>113049</v>
      </c>
      <c r="G24" s="93">
        <f>IFERROR(VLOOKUP($B24,'IS Q1-24'!$A:$J,COLUMNS('IS Q1-24'!$A:$D),FALSE),0)</f>
        <v>22190</v>
      </c>
      <c r="H24" s="101">
        <f>IFERROR(VLOOKUP($B24,'IS Q2-24'!$A:$J,COLUMNS('IS Q2-24'!$A:$D),FALSE),0)</f>
        <v>18390</v>
      </c>
      <c r="I24" s="102">
        <f>IFERROR(VLOOKUP($B24,'IS Q3-24'!$A:$J,COLUMNS('IS Q3-24'!$A:$D),FALSE),0)</f>
        <v>24024</v>
      </c>
      <c r="J24" s="64">
        <f>(AVERAGE(G24:I24))</f>
        <v>21534.666666666668</v>
      </c>
      <c r="K24" s="63">
        <f t="shared" ref="K24:Q24" si="12">K23*K26</f>
        <v>98337.339292578108</v>
      </c>
      <c r="L24" s="63">
        <f t="shared" si="12"/>
        <v>103015.32206372259</v>
      </c>
      <c r="M24" s="63">
        <f t="shared" si="12"/>
        <v>105278.35907147806</v>
      </c>
      <c r="N24" s="63">
        <f t="shared" si="12"/>
        <v>105126.34524802401</v>
      </c>
      <c r="O24" s="63">
        <f t="shared" si="12"/>
        <v>107381.28141396465</v>
      </c>
      <c r="P24" s="63">
        <f t="shared" si="12"/>
        <v>104809.89366333876</v>
      </c>
      <c r="Q24" s="63">
        <f t="shared" si="12"/>
        <v>104645.23127386493</v>
      </c>
    </row>
    <row r="25" spans="2:17" ht="15.75" thickBot="1" x14ac:dyDescent="0.3">
      <c r="B25" s="6" t="s">
        <v>101</v>
      </c>
      <c r="C25" s="133">
        <f>IFERROR(VLOOKUP($B25,'IS FY21'!$A:$G,COLUMNS('IS FY21'!$A:$G),FALSE),0)</f>
        <v>251758</v>
      </c>
      <c r="D25" s="133">
        <f>IFERROR(VLOOKUP($B25,'IS FY21'!$A:$G,COLUMNS('IS FY21'!$A:$D),FALSE),0)</f>
        <v>217937</v>
      </c>
      <c r="E25" s="133">
        <f>IFERROR(VLOOKUP($B25,'IS FY23'!$A:$J,COLUMNS('IS FY23'!$A:$J),FALSE),0)</f>
        <v>340482</v>
      </c>
      <c r="F25" s="133">
        <f>IFERROR(VLOOKUP($B25,'IS FY23'!$A:$J,COLUMNS('IS FY23'!$A:$D),FALSE),0)</f>
        <v>343107</v>
      </c>
      <c r="G25" s="134">
        <f>IFERROR(VLOOKUP($B25,'IS Q1-24'!$A:$J,COLUMNS('IS Q1-24'!$A:$D),FALSE),0)</f>
        <v>69128</v>
      </c>
      <c r="H25" s="133">
        <f>IFERROR(VLOOKUP($B25,'IS Q2-24'!$A:$J,COLUMNS('IS Q2-24'!$A:$D),FALSE),0)</f>
        <v>61565</v>
      </c>
      <c r="I25" s="135">
        <f>IFERROR(VLOOKUP($B25,'IS Q3-24'!$A:$J,COLUMNS('IS Q3-24'!$A:$D),FALSE),0)</f>
        <v>71312</v>
      </c>
      <c r="J25" s="136">
        <f>J23-J24</f>
        <v>76492.122805037929</v>
      </c>
      <c r="K25" s="72">
        <f>K23-K24</f>
        <v>309522.97616456484</v>
      </c>
      <c r="L25" s="72">
        <f t="shared" ref="L25:Q25" si="13">L23-L24</f>
        <v>324247.22191076312</v>
      </c>
      <c r="M25" s="72">
        <f t="shared" si="13"/>
        <v>331370.27359031868</v>
      </c>
      <c r="N25" s="72">
        <f t="shared" si="13"/>
        <v>330891.80049564142</v>
      </c>
      <c r="O25" s="72">
        <f t="shared" si="13"/>
        <v>337989.3542647796</v>
      </c>
      <c r="P25" s="72">
        <f t="shared" si="13"/>
        <v>329895.7491787317</v>
      </c>
      <c r="Q25" s="72">
        <f t="shared" si="13"/>
        <v>329377.46392494149</v>
      </c>
    </row>
    <row r="26" spans="2:17" ht="15.75" thickTop="1" x14ac:dyDescent="0.25">
      <c r="B26" s="4" t="s">
        <v>219</v>
      </c>
      <c r="C26" s="148">
        <f>C24/C23</f>
        <v>0.24679730740463723</v>
      </c>
      <c r="D26" s="148">
        <f t="shared" ref="D26:J26" si="14">D24/D23</f>
        <v>0.24426882678697132</v>
      </c>
      <c r="E26" s="148">
        <f t="shared" si="14"/>
        <v>0.245271893813784</v>
      </c>
      <c r="F26" s="148">
        <f t="shared" si="14"/>
        <v>0.24782968984294845</v>
      </c>
      <c r="G26" s="149">
        <f t="shared" si="14"/>
        <v>0.2429969994962658</v>
      </c>
      <c r="H26" s="150">
        <f t="shared" si="14"/>
        <v>0.23000437746232255</v>
      </c>
      <c r="I26" s="151">
        <f t="shared" si="14"/>
        <v>0.25199295124611898</v>
      </c>
      <c r="J26" s="152">
        <f t="shared" si="14"/>
        <v>0.21968144404936002</v>
      </c>
      <c r="K26" s="153">
        <f>AVERAGE($C$26:$J$26)</f>
        <v>0.24110543626280104</v>
      </c>
      <c r="L26" s="153">
        <f t="shared" ref="L26:Q26" si="15">AVERAGE($C$26:$J$26)</f>
        <v>0.24110543626280104</v>
      </c>
      <c r="M26" s="153">
        <f t="shared" si="15"/>
        <v>0.24110543626280104</v>
      </c>
      <c r="N26" s="153">
        <f t="shared" si="15"/>
        <v>0.24110543626280104</v>
      </c>
      <c r="O26" s="153">
        <f t="shared" si="15"/>
        <v>0.24110543626280104</v>
      </c>
      <c r="P26" s="153">
        <f t="shared" si="15"/>
        <v>0.24110543626280104</v>
      </c>
      <c r="Q26" s="153">
        <f t="shared" si="15"/>
        <v>0.24110543626280104</v>
      </c>
    </row>
    <row r="27" spans="2:17" x14ac:dyDescent="0.25">
      <c r="B27" s="4"/>
      <c r="C27" s="104"/>
      <c r="D27" s="104"/>
      <c r="E27" s="104"/>
      <c r="F27" s="104"/>
      <c r="G27" s="96"/>
      <c r="H27" s="114"/>
      <c r="I27" s="142"/>
      <c r="J27" s="98"/>
      <c r="K27" s="143"/>
      <c r="L27" s="143"/>
      <c r="M27" s="143"/>
      <c r="N27" s="143"/>
      <c r="O27" s="143"/>
      <c r="P27" s="143"/>
      <c r="Q27" s="143"/>
    </row>
    <row r="28" spans="2:17" x14ac:dyDescent="0.25">
      <c r="B28" t="s">
        <v>187</v>
      </c>
      <c r="C28" s="99">
        <f>IFERROR(VLOOKUP($B28,'IS FY21'!$A:$G,COLUMNS('IS FY21'!$A:$G),FALSE),0)</f>
        <v>641</v>
      </c>
      <c r="D28" s="99">
        <f>IFERROR(VLOOKUP($B28,'IS FY21'!$A:$G,COLUMNS('IS FY21'!$A:$D),FALSE),0)</f>
        <v>1030</v>
      </c>
      <c r="E28" s="99">
        <f>IFERROR(VLOOKUP($B28,'IS FY23'!$A:$J,COLUMNS('IS FY23'!$A:$J),FALSE),0)</f>
        <v>696</v>
      </c>
      <c r="F28" s="99">
        <f>IFERROR(VLOOKUP($B28,'IS FY23'!$A:$J,COLUMNS('IS FY23'!$A:$D),FALSE),0)</f>
        <v>-126</v>
      </c>
      <c r="G28" s="93">
        <f>IFERROR(VLOOKUP($B28,'IS Q1-24'!$A:$J,COLUMNS('IS Q1-24'!$A:$D),FALSE),0)</f>
        <v>-222</v>
      </c>
      <c r="H28" s="101">
        <f>IFERROR(VLOOKUP($B28,'IS Q2-24'!$A:$J,COLUMNS('IS Q2-24'!$A:$D),FALSE),0)</f>
        <v>-282</v>
      </c>
      <c r="I28" s="102">
        <f>IFERROR(VLOOKUP($B28,'IS Q3-24'!$A:$J,COLUMNS('IS Q3-24'!$A:$D),FALSE),0)</f>
        <v>-393</v>
      </c>
      <c r="J28" s="64">
        <f>(AVERAGE(G28:I28))</f>
        <v>-299</v>
      </c>
      <c r="K28" s="92">
        <f>AVERAGE(SUM($G28:$J28),$C28:$F28)*(1+$M$2)</f>
        <v>214.64299999999997</v>
      </c>
      <c r="L28" s="92">
        <f t="shared" ref="L28:Q28" si="16">K28*(1+$M$2)</f>
        <v>220.43836099999996</v>
      </c>
      <c r="M28" s="92">
        <f t="shared" si="16"/>
        <v>226.39019674699995</v>
      </c>
      <c r="N28" s="92">
        <f t="shared" si="16"/>
        <v>232.50273205916892</v>
      </c>
      <c r="O28" s="92">
        <f t="shared" si="16"/>
        <v>238.78030582476646</v>
      </c>
      <c r="P28" s="92">
        <f t="shared" si="16"/>
        <v>245.22737408203514</v>
      </c>
      <c r="Q28" s="92">
        <f t="shared" si="16"/>
        <v>251.84851318225006</v>
      </c>
    </row>
    <row r="29" spans="2:17" ht="15.75" thickBot="1" x14ac:dyDescent="0.3">
      <c r="B29" s="6" t="s">
        <v>102</v>
      </c>
      <c r="C29" s="133">
        <f>IFERROR(VLOOKUP($B29,'IS FY21'!$A:$G,COLUMNS('IS FY21'!$A:$G),FALSE),0)</f>
        <v>251117</v>
      </c>
      <c r="D29" s="133">
        <f>IFERROR(VLOOKUP($B29,'IS FY21'!$A:$G,COLUMNS('IS FY21'!$A:$D),FALSE),0)</f>
        <v>216907</v>
      </c>
      <c r="E29" s="133">
        <f>IFERROR(VLOOKUP($B29,'IS FY23'!$A:$J,COLUMNS('IS FY23'!$A:$J),FALSE),0)</f>
        <v>339786</v>
      </c>
      <c r="F29" s="133">
        <f>IFERROR(VLOOKUP($B29,'IS FY23'!$A:$J,COLUMNS('IS FY23'!$A:$D),FALSE),0)</f>
        <v>343233</v>
      </c>
      <c r="G29" s="134">
        <f>IFERROR(VLOOKUP($B29,'IS Q1-24'!$A:$J,COLUMNS('IS Q1-24'!$A:$D),FALSE),0)</f>
        <v>69350</v>
      </c>
      <c r="H29" s="133">
        <f>IFERROR(VLOOKUP($B29,'IS Q2-24'!$A:$J,COLUMNS('IS Q2-24'!$A:$D),FALSE),0)</f>
        <v>61847</v>
      </c>
      <c r="I29" s="135">
        <f>IFERROR(VLOOKUP($B29,'IS Q3-24'!$A:$J,COLUMNS('IS Q3-24'!$A:$D),FALSE),0)</f>
        <v>71705</v>
      </c>
      <c r="J29" s="136">
        <f>J25-J28</f>
        <v>76791.122805037929</v>
      </c>
      <c r="K29" s="72">
        <f t="shared" ref="K29:Q29" si="17">K25-K28</f>
        <v>309308.33316456486</v>
      </c>
      <c r="L29" s="72">
        <f t="shared" si="17"/>
        <v>324026.78354976315</v>
      </c>
      <c r="M29" s="72">
        <f t="shared" si="17"/>
        <v>331143.88339357171</v>
      </c>
      <c r="N29" s="72">
        <f t="shared" si="17"/>
        <v>330659.29776358226</v>
      </c>
      <c r="O29" s="72">
        <f t="shared" si="17"/>
        <v>337750.57395895483</v>
      </c>
      <c r="P29" s="72">
        <f t="shared" si="17"/>
        <v>329650.52180464967</v>
      </c>
      <c r="Q29" s="72">
        <f t="shared" si="17"/>
        <v>329125.61541175924</v>
      </c>
    </row>
    <row r="30" spans="2:17" ht="15.75" thickTop="1" x14ac:dyDescent="0.25">
      <c r="B30" t="s">
        <v>103</v>
      </c>
      <c r="C30" s="99">
        <f>IFERROR(VLOOKUP($B30,'IS FY21'!$A:$G,COLUMNS('IS FY21'!$A:$G),FALSE),0)</f>
        <v>0</v>
      </c>
      <c r="D30" s="99">
        <f>IFERROR(VLOOKUP($B30,'IS FY21'!$A:$G,COLUMNS('IS FY21'!$A:$D),FALSE),0)</f>
        <v>0</v>
      </c>
      <c r="E30" s="99">
        <f>IFERROR(VLOOKUP($B30,'IS FY23'!$A:$J,COLUMNS('IS FY23'!$A:$J),FALSE),0)</f>
        <v>0</v>
      </c>
      <c r="F30" s="99">
        <f>IFERROR(VLOOKUP($B30,'IS FY23'!$A:$J,COLUMNS('IS FY23'!$A:$D),FALSE),0)</f>
        <v>0</v>
      </c>
      <c r="G30" s="93">
        <f>IFERROR(VLOOKUP($B30,'IS Q1-24'!$A:$J,COLUMNS('IS Q1-24'!$A:$D),FALSE),0)</f>
        <v>0</v>
      </c>
      <c r="H30" s="101">
        <f>IFERROR(VLOOKUP($B30,'IS Q2-24'!$A:$J,COLUMNS('IS Q2-24'!$A:$D),FALSE),0)</f>
        <v>0</v>
      </c>
      <c r="I30" s="102">
        <f>IFERROR(VLOOKUP($B30,'IS Q3-24'!$A:$J,COLUMNS('IS Q3-24'!$A:$D),FALSE),0)</f>
        <v>0</v>
      </c>
      <c r="J30" s="64">
        <f>I30</f>
        <v>0</v>
      </c>
      <c r="K30" s="9"/>
      <c r="L30" s="9"/>
    </row>
    <row r="31" spans="2:17" x14ac:dyDescent="0.25">
      <c r="B31" t="s">
        <v>104</v>
      </c>
      <c r="C31" s="99">
        <f>IFERROR(VLOOKUP($B31,'IS FY21'!$A:$G,COLUMNS('IS FY21'!$A:$G),FALSE),0)</f>
        <v>0</v>
      </c>
      <c r="D31" s="99">
        <f>IFERROR(VLOOKUP($B31,'IS FY21'!$A:$G,COLUMNS('IS FY21'!$A:$D),FALSE),0)</f>
        <v>0</v>
      </c>
      <c r="E31" s="99">
        <f>IFERROR(VLOOKUP($B31,'IS FY23'!$A:$J,COLUMNS('IS FY23'!$A:$J),FALSE),0)</f>
        <v>0</v>
      </c>
      <c r="F31" s="99">
        <f>IFERROR(VLOOKUP($B31,'IS FY23'!$A:$J,COLUMNS('IS FY23'!$A:$D),FALSE),0)</f>
        <v>0</v>
      </c>
      <c r="G31" s="93">
        <f>IFERROR(VLOOKUP($B31,'IS Q1-24'!$A:$J,COLUMNS('IS Q1-24'!$A:$D),FALSE),0)</f>
        <v>0</v>
      </c>
      <c r="H31" s="101">
        <f>IFERROR(VLOOKUP($B31,'IS Q2-24'!$A:$J,COLUMNS('IS Q2-24'!$A:$D),FALSE),0)</f>
        <v>0</v>
      </c>
      <c r="I31" s="102">
        <f>IFERROR(VLOOKUP($B31,'IS Q3-24'!$A:$J,COLUMNS('IS Q3-24'!$A:$D),FALSE),0)</f>
        <v>0</v>
      </c>
      <c r="J31" s="64">
        <f>I31</f>
        <v>0</v>
      </c>
      <c r="K31" s="9"/>
      <c r="L31" s="9"/>
    </row>
    <row r="32" spans="2:17" x14ac:dyDescent="0.25">
      <c r="B32" t="s">
        <v>105</v>
      </c>
      <c r="C32" s="99">
        <f>IFERROR(VLOOKUP($B32,'IS FY21'!$A:$G,COLUMNS('IS FY21'!$A:$G),FALSE),0)</f>
        <v>4.53</v>
      </c>
      <c r="D32" s="99">
        <f>IFERROR(VLOOKUP($B32,'IS FY21'!$A:$G,COLUMNS('IS FY21'!$A:$D),FALSE),0)</f>
        <v>3.89</v>
      </c>
      <c r="E32" s="99">
        <f>IFERROR(VLOOKUP($B32,'IS FY23'!$A:$J,COLUMNS('IS FY23'!$A:$J),FALSE),0)</f>
        <v>6.09</v>
      </c>
      <c r="F32" s="99">
        <f>IFERROR(VLOOKUP($B32,'IS FY23'!$A:$J,COLUMNS('IS FY23'!$A:$D),FALSE),0)</f>
        <v>6.14</v>
      </c>
      <c r="G32" s="93">
        <f>IFERROR(VLOOKUP($B32,'IS Q1-24'!$A:$J,COLUMNS('IS Q1-24'!$A:$D),FALSE),0)</f>
        <v>1.23</v>
      </c>
      <c r="H32" s="101">
        <f>IFERROR(VLOOKUP($B32,'IS Q2-24'!$A:$J,COLUMNS('IS Q2-24'!$A:$D),FALSE),0)</f>
        <v>1.1000000000000001</v>
      </c>
      <c r="I32" s="102">
        <f>IFERROR(VLOOKUP($B32,'IS Q3-24'!$A:$J,COLUMNS('IS Q3-24'!$A:$D),FALSE),0)</f>
        <v>1.28</v>
      </c>
      <c r="J32" s="64">
        <f>I32</f>
        <v>1.28</v>
      </c>
    </row>
    <row r="33" spans="2:10" x14ac:dyDescent="0.25">
      <c r="B33" t="s">
        <v>106</v>
      </c>
      <c r="C33" s="99">
        <f>IFERROR(VLOOKUP($B33,'IS FY21'!$A:$G,COLUMNS('IS FY21'!$A:$G),FALSE),0)</f>
        <v>4.51</v>
      </c>
      <c r="D33" s="99">
        <f>IFERROR(VLOOKUP($B33,'IS FY21'!$A:$G,COLUMNS('IS FY21'!$A:$D),FALSE),0)</f>
        <v>3.87</v>
      </c>
      <c r="E33" s="99">
        <f>IFERROR(VLOOKUP($B33,'IS FY23'!$A:$J,COLUMNS('IS FY23'!$A:$J),FALSE),0)</f>
        <v>6.06</v>
      </c>
      <c r="F33" s="99">
        <f>IFERROR(VLOOKUP($B33,'IS FY23'!$A:$J,COLUMNS('IS FY23'!$A:$D),FALSE),0)</f>
        <v>6.11</v>
      </c>
      <c r="G33" s="93">
        <f>IFERROR(VLOOKUP($B33,'IS Q1-24'!$A:$J,COLUMNS('IS Q1-24'!$A:$D),FALSE),0)</f>
        <v>1.22</v>
      </c>
      <c r="H33" s="101">
        <f>IFERROR(VLOOKUP($B33,'IS Q2-24'!$A:$J,COLUMNS('IS Q2-24'!$A:$D),FALSE),0)</f>
        <v>1.1000000000000001</v>
      </c>
      <c r="I33" s="102">
        <f>IFERROR(VLOOKUP($B33,'IS Q3-24'!$A:$J,COLUMNS('IS Q3-24'!$A:$D),FALSE),0)</f>
        <v>1.27</v>
      </c>
      <c r="J33" s="64">
        <f>I33</f>
        <v>1.27</v>
      </c>
    </row>
    <row r="34" spans="2:10" x14ac:dyDescent="0.25">
      <c r="B34" t="s">
        <v>107</v>
      </c>
      <c r="C34" s="99">
        <f>IFERROR(VLOOKUP($B34,'IS FY21'!$A:$G,COLUMNS('IS FY21'!$A:$G),FALSE),0)</f>
        <v>0</v>
      </c>
      <c r="D34" s="99">
        <f>IFERROR(VLOOKUP($B34,'IS FY21'!$A:$G,COLUMNS('IS FY21'!$A:$D),FALSE),0)</f>
        <v>0</v>
      </c>
      <c r="E34" s="99">
        <f>IFERROR(VLOOKUP($B34,'IS FY23'!$A:$J,COLUMNS('IS FY23'!$A:$J),FALSE),0)</f>
        <v>0</v>
      </c>
      <c r="F34" s="99">
        <f>IFERROR(VLOOKUP($B34,'IS FY23'!$A:$J,COLUMNS('IS FY23'!$A:$D),FALSE),0)</f>
        <v>0</v>
      </c>
      <c r="G34" s="93">
        <f>IFERROR(VLOOKUP($B34,'IS Q1-24'!$A:$J,COLUMNS('IS Q1-24'!$A:$D),FALSE),0)</f>
        <v>0</v>
      </c>
      <c r="H34" s="101">
        <f>IFERROR(VLOOKUP($B34,'IS Q2-24'!$A:$J,COLUMNS('IS Q2-24'!$A:$D),FALSE),0)</f>
        <v>0</v>
      </c>
      <c r="I34" s="102">
        <f>IFERROR(VLOOKUP($B34,'IS Q3-24'!$A:$J,COLUMNS('IS Q3-24'!$A:$D),FALSE),0)</f>
        <v>0</v>
      </c>
      <c r="J34" s="64">
        <f>I34</f>
        <v>0</v>
      </c>
    </row>
    <row r="35" spans="2:10" x14ac:dyDescent="0.25">
      <c r="B35" t="s">
        <v>212</v>
      </c>
      <c r="C35" s="99">
        <f>IFERROR(VLOOKUP($B35,'IS FY21'!$A:$G,COLUMNS('IS FY21'!$A:$G),FALSE),0)</f>
        <v>55472</v>
      </c>
      <c r="D35" s="99">
        <f>IFERROR(VLOOKUP($B35,'IS FY21'!$A:$G,COLUMNS('IS FY21'!$A:$D),FALSE),0)</f>
        <v>55737</v>
      </c>
      <c r="E35" s="99">
        <f>IFERROR(VLOOKUP($B35,'IS FY23'!$A:$J,COLUMNS('IS FY23'!$A:$J),FALSE),0)</f>
        <v>55777</v>
      </c>
      <c r="F35" s="99">
        <f>IFERROR(VLOOKUP($B35,'IS FY23'!$A:$J,COLUMNS('IS FY23'!$A:$D),FALSE),0)</f>
        <v>55918</v>
      </c>
      <c r="G35" s="93">
        <f>IFERROR(VLOOKUP($B35,'IS Q1-24'!$A:$J,COLUMNS('IS Q1-24'!$A:$D),FALSE),0)</f>
        <v>56429</v>
      </c>
      <c r="H35" s="101">
        <f>IFERROR(VLOOKUP($B35,'IS Q2-24'!$A:$J,COLUMNS('IS Q2-24'!$A:$D),FALSE),0)</f>
        <v>56325</v>
      </c>
      <c r="I35" s="102">
        <f>IFERROR(VLOOKUP($B35,'IS Q3-24'!$A:$J,COLUMNS('IS Q3-24'!$A:$D),FALSE),0)</f>
        <v>56214</v>
      </c>
      <c r="J35" s="64">
        <f>I35/H35*I35</f>
        <v>56103.218748335552</v>
      </c>
    </row>
    <row r="36" spans="2:10" ht="15.75" thickBot="1" x14ac:dyDescent="0.3">
      <c r="B36" t="s">
        <v>213</v>
      </c>
      <c r="C36" s="99">
        <f>IFERROR(VLOOKUP($B36,'IS FY21'!$A:$G,COLUMNS('IS FY21'!$A:$G),FALSE),0)</f>
        <v>55643</v>
      </c>
      <c r="D36" s="99">
        <f>IFERROR(VLOOKUP($B36,'IS FY21'!$A:$G,COLUMNS('IS FY21'!$A:$D),FALSE),0)</f>
        <v>56093</v>
      </c>
      <c r="E36" s="99">
        <f>IFERROR(VLOOKUP($B36,'IS FY23'!$A:$J,COLUMNS('IS FY23'!$A:$J),FALSE),0)</f>
        <v>56045</v>
      </c>
      <c r="F36" s="99">
        <f>IFERROR(VLOOKUP($B36,'IS FY23'!$A:$J,COLUMNS('IS FY23'!$A:$D),FALSE),0)</f>
        <v>56210</v>
      </c>
      <c r="G36" s="154">
        <f>IFERROR(VLOOKUP($B36,'IS Q1-24'!$A:$J,COLUMNS('IS Q1-24'!$A:$D),FALSE),0)</f>
        <v>56723</v>
      </c>
      <c r="H36" s="155">
        <f>IFERROR(VLOOKUP($B36,'IS Q2-24'!$A:$J,COLUMNS('IS Q2-24'!$A:$D),FALSE),0)</f>
        <v>56467</v>
      </c>
      <c r="I36" s="156">
        <f>IFERROR(VLOOKUP($B36,'IS Q3-24'!$A:$J,COLUMNS('IS Q3-24'!$A:$D),FALSE),0)</f>
        <v>56351</v>
      </c>
      <c r="J36" s="157">
        <f>I36/H36*I36</f>
        <v>56235.238298475211</v>
      </c>
    </row>
    <row r="38" spans="2:10" x14ac:dyDescent="0.25">
      <c r="C38" s="92">
        <f t="shared" ref="C38:I38" si="18">SUM(C6:C36)</f>
        <v>8726523.0131711084</v>
      </c>
      <c r="D38" s="92">
        <f t="shared" si="18"/>
        <v>8699716.7220678441</v>
      </c>
      <c r="E38" s="92">
        <f t="shared" si="18"/>
        <v>10261453.110923728</v>
      </c>
      <c r="F38" s="92">
        <f t="shared" si="18"/>
        <v>10973935.194777424</v>
      </c>
      <c r="G38" s="92">
        <f t="shared" si="18"/>
        <v>2645474.4097393677</v>
      </c>
      <c r="H38" s="92">
        <f t="shared" si="18"/>
        <v>2571097.156841876</v>
      </c>
      <c r="I38" s="92">
        <f t="shared" si="18"/>
        <v>2710839.5059680366</v>
      </c>
    </row>
    <row r="39" spans="2:10" x14ac:dyDescent="0.25">
      <c r="B39" t="s">
        <v>207</v>
      </c>
      <c r="C39" s="92">
        <f>'IS FY21'!G36</f>
        <v>8726522.0399999991</v>
      </c>
      <c r="D39" s="92">
        <f>'IS FY21'!D36</f>
        <v>8699715.7599999998</v>
      </c>
      <c r="E39" s="92">
        <f>'IS FY23'!J33</f>
        <v>10261452.15</v>
      </c>
      <c r="F39" s="92">
        <f>'IS FY23'!D33</f>
        <v>10973934.25</v>
      </c>
      <c r="G39" s="92">
        <f>'IS Q1-24'!D32</f>
        <v>2645473.4500000002</v>
      </c>
      <c r="H39" s="92">
        <f>'IS Q2-24'!D32</f>
        <v>2571096.2000000002</v>
      </c>
      <c r="I39" s="92">
        <f>'IS Q3-24'!D32</f>
        <v>2710838.55</v>
      </c>
    </row>
    <row r="40" spans="2:10" x14ac:dyDescent="0.25">
      <c r="C40" s="110">
        <f>C38-C39-C9-C16-C26</f>
        <v>-3.4321256947578149E-10</v>
      </c>
      <c r="D40" s="110">
        <f t="shared" ref="D40:I40" si="19">D38-D39-D9-D16-D26</f>
        <v>2.8502517013251349E-10</v>
      </c>
      <c r="E40" s="110">
        <f t="shared" si="19"/>
        <v>-1.1920668896436837E-9</v>
      </c>
      <c r="F40" s="110">
        <f t="shared" si="19"/>
        <v>8.8689749988546396E-10</v>
      </c>
      <c r="G40" s="110">
        <f t="shared" si="19"/>
        <v>4.2749248585494115E-11</v>
      </c>
      <c r="H40" s="110">
        <f t="shared" si="19"/>
        <v>4.2146325318626054E-10</v>
      </c>
      <c r="I40" s="110">
        <f t="shared" si="19"/>
        <v>1.9974077947182423E-11</v>
      </c>
    </row>
    <row r="42" spans="2:10" x14ac:dyDescent="0.25">
      <c r="I42" s="74"/>
    </row>
    <row r="43" spans="2:10" x14ac:dyDescent="0.25">
      <c r="I43" s="74"/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FDDC-3D92-4C7F-992C-501DB6A53233}">
  <dimension ref="A1:AH53"/>
  <sheetViews>
    <sheetView showGridLines="0" topLeftCell="A15" workbookViewId="0"/>
  </sheetViews>
  <sheetFormatPr defaultRowHeight="15" x14ac:dyDescent="0.25"/>
  <cols>
    <col min="1" max="1" width="9.85546875" bestFit="1" customWidth="1"/>
    <col min="2" max="2" width="59.140625" style="17" customWidth="1"/>
    <col min="3" max="9" width="11.7109375" style="94" customWidth="1"/>
    <col min="10" max="16" width="11.7109375" style="112" customWidth="1"/>
    <col min="17" max="17" width="12.28515625" style="112" customWidth="1"/>
    <col min="18" max="18" width="14.28515625" bestFit="1" customWidth="1"/>
  </cols>
  <sheetData>
    <row r="1" spans="2:34" x14ac:dyDescent="0.25">
      <c r="C1" s="19"/>
      <c r="D1" s="19"/>
      <c r="E1" s="19"/>
      <c r="F1" s="19"/>
      <c r="G1" s="19"/>
      <c r="H1" s="19"/>
      <c r="I1" s="19"/>
      <c r="J1" s="7"/>
      <c r="K1" s="7"/>
      <c r="L1" s="7"/>
      <c r="M1" s="7"/>
      <c r="N1" s="7"/>
      <c r="O1" s="7"/>
      <c r="P1" s="7"/>
      <c r="Q1" s="7"/>
    </row>
    <row r="2" spans="2:34" x14ac:dyDescent="0.25">
      <c r="B2" s="165" t="s">
        <v>0</v>
      </c>
      <c r="C2" s="18"/>
      <c r="D2" s="18"/>
      <c r="E2" s="18"/>
      <c r="F2" s="18"/>
      <c r="G2" s="18"/>
      <c r="H2" s="18"/>
      <c r="I2" s="4"/>
      <c r="J2" s="166">
        <f>'3-Statement (Base)'!J9</f>
        <v>952178.74599999981</v>
      </c>
      <c r="K2" s="166">
        <f>'3-Statement (Base)'!K9</f>
        <v>3820845.7459999998</v>
      </c>
      <c r="L2" s="166">
        <f>'3-Statement (Base)'!L9</f>
        <v>3800977.3481207998</v>
      </c>
      <c r="M2" s="166">
        <f>'3-Statement (Base)'!M9</f>
        <v>3978863.0880128532</v>
      </c>
      <c r="N2" s="166">
        <f>'3-Statement (Base)'!N9</f>
        <v>4240672.2792040994</v>
      </c>
      <c r="O2" s="166">
        <f>'3-Statement (Base)'!O9</f>
        <v>4373829.3887711084</v>
      </c>
      <c r="P2" s="166">
        <f>'3-Statement (Base)'!P9</f>
        <v>4592520.858209664</v>
      </c>
      <c r="Q2" s="166">
        <f>'3-Statement (Base)'!Q9</f>
        <v>4765934.445815661</v>
      </c>
      <c r="R2" s="166">
        <f>'3-Statement (Base)'!R9</f>
        <v>4986845.0392481079</v>
      </c>
    </row>
    <row r="3" spans="2:34" s="20" customFormat="1" x14ac:dyDescent="0.25">
      <c r="B3" s="167" t="s">
        <v>356</v>
      </c>
      <c r="C3" s="8"/>
      <c r="D3" s="8"/>
      <c r="E3" s="8"/>
      <c r="F3" s="8"/>
      <c r="G3" s="8"/>
      <c r="H3" s="8"/>
      <c r="I3" s="8"/>
      <c r="J3" s="8">
        <f>'3-Statement (Base)'!J21</f>
        <v>0.22166297694440976</v>
      </c>
      <c r="K3" s="8">
        <f>'3-Statement (Base)'!K21</f>
        <v>0.22095922154671035</v>
      </c>
      <c r="L3" s="8">
        <f>'3-Statement (Base)'!L21</f>
        <v>0.21622921880791099</v>
      </c>
      <c r="M3" s="8">
        <f>'3-Statement (Base)'!M21</f>
        <v>0.21622921880791099</v>
      </c>
      <c r="N3" s="8">
        <f>'3-Statement (Base)'!N21</f>
        <v>0.21780588638751078</v>
      </c>
      <c r="O3" s="8">
        <f>'3-Statement (Base)'!O21</f>
        <v>0.21675477466777759</v>
      </c>
      <c r="P3" s="8">
        <f>'3-Statement (Base)'!P21</f>
        <v>0.21692995995439979</v>
      </c>
      <c r="Q3" s="8">
        <f>'3-Statement (Base)'!Q21</f>
        <v>0.21716354033656271</v>
      </c>
      <c r="R3" s="8">
        <f>'3-Statement (Base)'!R21</f>
        <v>0.2169494249862467</v>
      </c>
      <c r="S3"/>
      <c r="T3"/>
      <c r="U3"/>
      <c r="V3"/>
      <c r="W3"/>
      <c r="X3"/>
    </row>
    <row r="4" spans="2:34" s="4" customFormat="1" ht="15.75" x14ac:dyDescent="0.25">
      <c r="B4" s="17"/>
      <c r="C4" s="111">
        <f>'3-Statement (Base)'!C2</f>
        <v>44196</v>
      </c>
      <c r="D4" s="111">
        <f>'3-Statement (Base)'!D2</f>
        <v>44561</v>
      </c>
      <c r="E4" s="111">
        <f>'3-Statement (Base)'!E2</f>
        <v>44926</v>
      </c>
      <c r="F4" s="111">
        <f>'3-Statement (Base)'!F2</f>
        <v>45291</v>
      </c>
      <c r="G4" s="111" t="str">
        <f>'3-Statement (Base)'!G2</f>
        <v>Q1-24</v>
      </c>
      <c r="H4" s="111" t="str">
        <f>'3-Statement (Base)'!H2</f>
        <v>Q2-24</v>
      </c>
      <c r="I4" s="111" t="str">
        <f>'3-Statement (Base)'!I2</f>
        <v>Q3-24</v>
      </c>
      <c r="J4" s="111" t="str">
        <f>'3-Statement (Base)'!J2</f>
        <v>Q4-24</v>
      </c>
      <c r="K4" s="111">
        <f>'3-Statement (Base)'!K2</f>
        <v>45657</v>
      </c>
      <c r="L4" s="111">
        <f>'3-Statement (Base)'!L2</f>
        <v>46022</v>
      </c>
      <c r="M4" s="111">
        <f>'3-Statement (Base)'!M2</f>
        <v>46387</v>
      </c>
      <c r="N4" s="111">
        <f>'3-Statement (Base)'!N2</f>
        <v>46752</v>
      </c>
      <c r="O4" s="111">
        <f>'3-Statement (Base)'!O2</f>
        <v>47118</v>
      </c>
      <c r="P4" s="111">
        <f>'3-Statement (Base)'!P2</f>
        <v>47483</v>
      </c>
      <c r="Q4" s="111">
        <f>'3-Statement (Base)'!Q2</f>
        <v>47848</v>
      </c>
      <c r="R4" s="111">
        <f>'3-Statement (Base)'!R2</f>
        <v>48213</v>
      </c>
      <c r="S4"/>
      <c r="T4"/>
      <c r="U4"/>
      <c r="V4"/>
      <c r="W4"/>
      <c r="X4"/>
      <c r="Z4" s="194"/>
      <c r="AA4" s="194"/>
      <c r="AB4" s="194"/>
      <c r="AC4" s="194"/>
      <c r="AD4" s="194"/>
      <c r="AE4" s="194"/>
      <c r="AF4" s="194"/>
      <c r="AG4" s="194"/>
      <c r="AH4" s="194"/>
    </row>
    <row r="5" spans="2:34" x14ac:dyDescent="0.25">
      <c r="B5" s="4" t="s">
        <v>52</v>
      </c>
    </row>
    <row r="6" spans="2:34" s="4" customFormat="1" x14ac:dyDescent="0.25">
      <c r="B6" s="4" t="s">
        <v>53</v>
      </c>
      <c r="C6" s="97"/>
      <c r="D6" s="97"/>
      <c r="E6" s="97"/>
      <c r="F6" s="97"/>
      <c r="G6" s="97"/>
      <c r="H6" s="97"/>
      <c r="I6" s="97"/>
      <c r="J6" s="113"/>
      <c r="K6" s="113"/>
      <c r="L6" s="113"/>
      <c r="M6" s="113"/>
      <c r="N6" s="113"/>
      <c r="O6" s="113"/>
      <c r="P6" s="113"/>
      <c r="Q6" s="113"/>
      <c r="S6"/>
      <c r="T6"/>
      <c r="U6"/>
      <c r="V6"/>
      <c r="W6"/>
      <c r="X6"/>
    </row>
    <row r="7" spans="2:34" x14ac:dyDescent="0.25">
      <c r="B7" t="s">
        <v>54</v>
      </c>
      <c r="C7" s="101">
        <f>IFERROR(VLOOKUP($B7,'BS FY21'!$A:$F,COLUMNS('BS FY21'!$A:$F),FALSE),0)</f>
        <v>125211</v>
      </c>
      <c r="D7" s="101">
        <f>IFERROR(VLOOKUP($B7,'BS FY21'!$A:$F,COLUMNS('BS FY21'!$A:$C),FALSE),0)</f>
        <v>40536</v>
      </c>
      <c r="E7" s="101">
        <f>IFERROR(VLOOKUP($B7,'BS FY23'!$A:$J,COLUMNS('BS FY23'!$A:$J),FALSE),0)</f>
        <v>43537</v>
      </c>
      <c r="F7" s="101">
        <f>IFERROR(VLOOKUP($B7,'BS FY23'!$A:$J,COLUMNS('BS FY23'!$A:$D),FALSE),0)</f>
        <v>50052</v>
      </c>
      <c r="G7" s="101">
        <f>IFERROR(VLOOKUP($B7,'BS Q1-24'!$A:$J,COLUMNS('BS Q1-24'!$A:$D),FALSE),0)</f>
        <v>25805</v>
      </c>
      <c r="H7" s="101">
        <f>IFERROR(VLOOKUP($B7,'BS Q2-24'!$A:$J,COLUMNS('BS Q2-24'!$A:$D),FALSE),0)</f>
        <v>22227</v>
      </c>
      <c r="I7" s="101">
        <f>IFERROR(VLOOKUP($B7,'BS Q3-24'!$A:$J,COLUMNS('BS Q3-24'!$A:$D),FALSE),0)</f>
        <v>25928</v>
      </c>
      <c r="J7" s="105">
        <f>'3-Statement (Base)'!J68</f>
        <v>25000.000000000004</v>
      </c>
      <c r="K7" s="105">
        <f>'3-Statement (Base)'!K68</f>
        <v>25000.000000000004</v>
      </c>
      <c r="L7" s="105">
        <f>'3-Statement (Base)'!L68</f>
        <v>25000.000000000036</v>
      </c>
      <c r="M7" s="105">
        <f>'3-Statement (Base)'!M68</f>
        <v>24999.999999999967</v>
      </c>
      <c r="N7" s="105">
        <f>'3-Statement (Base)'!N68</f>
        <v>25000.000000000055</v>
      </c>
      <c r="O7" s="105">
        <f>'3-Statement (Base)'!O68</f>
        <v>25000.000000000007</v>
      </c>
      <c r="P7" s="105">
        <f>'3-Statement (Base)'!P68</f>
        <v>25000.000000000022</v>
      </c>
      <c r="Q7" s="105">
        <f>'3-Statement (Base)'!Q68</f>
        <v>25000.000000000044</v>
      </c>
      <c r="R7" s="105">
        <f>'3-Statement (Base)'!R68</f>
        <v>24999.999999999887</v>
      </c>
      <c r="Y7" s="9"/>
    </row>
    <row r="8" spans="2:34" x14ac:dyDescent="0.25">
      <c r="B8" t="s">
        <v>120</v>
      </c>
      <c r="C8" s="94">
        <f>IFERROR(VLOOKUP($B8,'BS FY21'!$A:$F,COLUMNS('BS FY21'!$A:$F),FALSE),0)</f>
        <v>491743</v>
      </c>
      <c r="D8" s="94">
        <f>IFERROR(VLOOKUP($B8,'BS FY21'!$A:$F,COLUMNS('BS FY21'!$A:$C),FALSE),0)</f>
        <v>560373</v>
      </c>
      <c r="E8" s="101">
        <f>IFERROR(VLOOKUP($B8,'BS FY23'!$A:$J,COLUMNS('BS FY23'!$A:$J),FALSE),0)</f>
        <v>687608</v>
      </c>
      <c r="F8" s="94">
        <f>IFERROR(VLOOKUP($B8,'BS FY23'!$A:$J,COLUMNS('BS FY23'!$A:$D),FALSE),0)</f>
        <v>435421</v>
      </c>
      <c r="G8" s="94">
        <f>IFERROR(VLOOKUP($B8,'BS Q1-24'!$A:$J,COLUMNS('BS Q1-24'!$A:$D),FALSE),0)</f>
        <v>414280</v>
      </c>
      <c r="H8" s="94">
        <f>IFERROR(VLOOKUP($B8,'BS Q2-24'!$A:$J,COLUMNS('BS Q2-24'!$A:$D),FALSE),0)</f>
        <v>428699</v>
      </c>
      <c r="I8" s="94">
        <f>IFERROR(VLOOKUP($B8,'BS Q3-24'!$A:$J,COLUMNS('BS Q3-24'!$A:$D),FALSE),0)</f>
        <v>419810</v>
      </c>
      <c r="J8" s="105">
        <f>I8/I$49*J$49</f>
        <v>437700.67169323098</v>
      </c>
      <c r="K8" s="105">
        <f t="shared" ref="K8:R8" si="0">J8/J$49*K$49</f>
        <v>437700.67169323098</v>
      </c>
      <c r="L8" s="105">
        <f t="shared" si="0"/>
        <v>426103.63372229651</v>
      </c>
      <c r="M8" s="105">
        <f t="shared" si="0"/>
        <v>446045.2837805</v>
      </c>
      <c r="N8" s="105">
        <f t="shared" si="0"/>
        <v>478861.47741979116</v>
      </c>
      <c r="O8" s="105">
        <f t="shared" si="0"/>
        <v>491514.22156738373</v>
      </c>
      <c r="P8" s="105">
        <f t="shared" si="0"/>
        <v>516507.04623834597</v>
      </c>
      <c r="Q8" s="105">
        <f t="shared" si="0"/>
        <v>536587.50404010515</v>
      </c>
      <c r="R8" s="105">
        <f t="shared" si="0"/>
        <v>560905.82947706978</v>
      </c>
      <c r="Y8" s="9"/>
    </row>
    <row r="9" spans="2:34" x14ac:dyDescent="0.25">
      <c r="B9" t="s">
        <v>55</v>
      </c>
      <c r="C9" s="94">
        <f>IFERROR(VLOOKUP($B9,'BS FY21'!$A:$F,COLUMNS('BS FY21'!$A:$F),FALSE),0)</f>
        <v>543106</v>
      </c>
      <c r="D9" s="94">
        <f>IFERROR(VLOOKUP($B9,'BS FY21'!$A:$F,COLUMNS('BS FY21'!$A:$C),FALSE),0)</f>
        <v>624169</v>
      </c>
      <c r="E9" s="101">
        <f>IFERROR(VLOOKUP($B9,'BS FY23'!$A:$J,COLUMNS('BS FY23'!$A:$J),FALSE),0)</f>
        <v>715625</v>
      </c>
      <c r="F9" s="94">
        <f>IFERROR(VLOOKUP($B9,'BS FY23'!$A:$J,COLUMNS('BS FY23'!$A:$D),FALSE),0)</f>
        <v>726521</v>
      </c>
      <c r="G9" s="94">
        <f>IFERROR(VLOOKUP($B9,'BS Q1-24'!$A:$J,COLUMNS('BS Q1-24'!$A:$D),FALSE),0)</f>
        <v>709362</v>
      </c>
      <c r="H9" s="94">
        <f>IFERROR(VLOOKUP($B9,'BS Q2-24'!$A:$J,COLUMNS('BS Q2-24'!$A:$D),FALSE),0)</f>
        <v>685373</v>
      </c>
      <c r="I9" s="94">
        <f>IFERROR(VLOOKUP($B9,'BS Q3-24'!$A:$J,COLUMNS('BS Q3-24'!$A:$D),FALSE),0)</f>
        <v>665638</v>
      </c>
      <c r="J9" s="105">
        <f>I9/I$49*J$49</f>
        <v>694004.90627793258</v>
      </c>
      <c r="K9" s="105">
        <f t="shared" ref="K9:R9" si="1">J9/J$49*K$49</f>
        <v>694004.90627793258</v>
      </c>
      <c r="L9" s="105">
        <f t="shared" si="1"/>
        <v>675616.99469674856</v>
      </c>
      <c r="M9" s="105">
        <f t="shared" si="1"/>
        <v>707235.87004855636</v>
      </c>
      <c r="N9" s="105">
        <f t="shared" si="1"/>
        <v>759268.23112063785</v>
      </c>
      <c r="O9" s="105">
        <f t="shared" si="1"/>
        <v>779330.0383880093</v>
      </c>
      <c r="P9" s="105">
        <f t="shared" si="1"/>
        <v>818957.90296562761</v>
      </c>
      <c r="Q9" s="105">
        <f t="shared" si="1"/>
        <v>850796.86766453274</v>
      </c>
      <c r="R9" s="105">
        <f t="shared" si="1"/>
        <v>889355.26671936782</v>
      </c>
      <c r="Y9" s="9"/>
    </row>
    <row r="10" spans="2:34" x14ac:dyDescent="0.25">
      <c r="B10" t="s">
        <v>56</v>
      </c>
      <c r="C10" s="94">
        <f>IFERROR(VLOOKUP($B10,'BS FY21'!$A:$F,COLUMNS('BS FY21'!$A:$F),FALSE),0)</f>
        <v>77710</v>
      </c>
      <c r="D10" s="94">
        <f>IFERROR(VLOOKUP($B10,'BS FY21'!$A:$F,COLUMNS('BS FY21'!$A:$C),FALSE),0)</f>
        <v>89167</v>
      </c>
      <c r="E10" s="101">
        <f>IFERROR(VLOOKUP($B10,'BS FY23'!$A:$J,COLUMNS('BS FY23'!$A:$J),FALSE),0)</f>
        <v>96853</v>
      </c>
      <c r="F10" s="94">
        <f>IFERROR(VLOOKUP($B10,'BS FY23'!$A:$J,COLUMNS('BS FY23'!$A:$D),FALSE),0)</f>
        <v>105519</v>
      </c>
      <c r="G10" s="94">
        <f>IFERROR(VLOOKUP($B10,'BS Q1-24'!$A:$J,COLUMNS('BS Q1-24'!$A:$D),FALSE),0)</f>
        <v>121519</v>
      </c>
      <c r="H10" s="94">
        <f>IFERROR(VLOOKUP($B10,'BS Q2-24'!$A:$J,COLUMNS('BS Q2-24'!$A:$D),FALSE),0)</f>
        <v>128614</v>
      </c>
      <c r="I10" s="94">
        <f>IFERROR(VLOOKUP($B10,'BS Q3-24'!$A:$J,COLUMNS('BS Q3-24'!$A:$D),FALSE),0)</f>
        <v>101472</v>
      </c>
      <c r="J10" s="105">
        <f>I10/I$49*J$49</f>
        <v>105796.34253127733</v>
      </c>
      <c r="K10" s="105">
        <f t="shared" ref="K10:R10" si="2">J10/J$49*K$49</f>
        <v>105796.34253127733</v>
      </c>
      <c r="L10" s="105">
        <f t="shared" si="2"/>
        <v>102993.2300828205</v>
      </c>
      <c r="M10" s="105">
        <f t="shared" si="2"/>
        <v>107813.3132506965</v>
      </c>
      <c r="N10" s="105">
        <f t="shared" si="2"/>
        <v>115745.2939109146</v>
      </c>
      <c r="O10" s="105">
        <f t="shared" si="2"/>
        <v>118803.58040753096</v>
      </c>
      <c r="P10" s="105">
        <f t="shared" si="2"/>
        <v>124844.57968104011</v>
      </c>
      <c r="Q10" s="105">
        <f t="shared" si="2"/>
        <v>129698.21397765072</v>
      </c>
      <c r="R10" s="105">
        <f t="shared" si="2"/>
        <v>135576.18048330728</v>
      </c>
      <c r="Y10" s="9"/>
    </row>
    <row r="11" spans="2:34" s="4" customFormat="1" x14ac:dyDescent="0.25">
      <c r="B11" s="4" t="s">
        <v>57</v>
      </c>
      <c r="C11" s="97">
        <f>IFERROR(VLOOKUP($B11,'BS FY21'!$A:$F,COLUMNS('BS FY21'!$A:$F),FALSE),0)</f>
        <v>1237770</v>
      </c>
      <c r="D11" s="97">
        <f>IFERROR(VLOOKUP($B11,'BS FY21'!$A:$F,COLUMNS('BS FY21'!$A:$C),FALSE),0)</f>
        <v>1314245</v>
      </c>
      <c r="E11" s="114">
        <f>IFERROR(VLOOKUP($B11,'BS FY23'!$A:$J,COLUMNS('BS FY23'!$A:$J),FALSE),0)</f>
        <v>1543623</v>
      </c>
      <c r="F11" s="97">
        <f>IFERROR(VLOOKUP($B11,'BS FY23'!$A:$J,COLUMNS('BS FY23'!$A:$D),FALSE),0)</f>
        <v>1317513</v>
      </c>
      <c r="G11" s="97">
        <f>IFERROR(VLOOKUP($B11,'BS Q1-24'!$A:$J,COLUMNS('BS Q1-24'!$A:$D),FALSE),0)</f>
        <v>1270966</v>
      </c>
      <c r="H11" s="97">
        <f>IFERROR(VLOOKUP($B11,'BS Q2-24'!$A:$J,COLUMNS('BS Q2-24'!$A:$D),FALSE),0)</f>
        <v>1264913</v>
      </c>
      <c r="I11" s="97">
        <f>IFERROR(VLOOKUP($B11,'BS Q3-24'!$A:$J,COLUMNS('BS Q3-24'!$A:$D),FALSE),0)</f>
        <v>1212848</v>
      </c>
      <c r="J11" s="115">
        <f>((I11-I7)/I49)*J49+J7</f>
        <v>1262501.920502441</v>
      </c>
      <c r="K11" s="115">
        <f t="shared" ref="K11:R11" si="3">((J11-J7)/J49)*K49+K7</f>
        <v>1262501.920502441</v>
      </c>
      <c r="L11" s="115">
        <f t="shared" si="3"/>
        <v>1229713.8585018658</v>
      </c>
      <c r="M11" s="115">
        <f t="shared" si="3"/>
        <v>1286094.4670797531</v>
      </c>
      <c r="N11" s="115">
        <f t="shared" si="3"/>
        <v>1378875.0024513437</v>
      </c>
      <c r="O11" s="115">
        <f t="shared" si="3"/>
        <v>1414647.8403629242</v>
      </c>
      <c r="P11" s="115">
        <f t="shared" si="3"/>
        <v>1485309.5288850139</v>
      </c>
      <c r="Q11" s="115">
        <f t="shared" si="3"/>
        <v>1542082.5856822887</v>
      </c>
      <c r="R11" s="115">
        <f t="shared" si="3"/>
        <v>1610837.2766797449</v>
      </c>
      <c r="S11"/>
      <c r="T11"/>
      <c r="U11"/>
      <c r="V11"/>
      <c r="W11"/>
      <c r="X11"/>
      <c r="Y11" s="9"/>
    </row>
    <row r="12" spans="2:34" x14ac:dyDescent="0.25">
      <c r="B12" t="s">
        <v>58</v>
      </c>
      <c r="C12" s="94">
        <f>IFERROR(VLOOKUP($B12,'BS FY21'!$A:$F,COLUMNS('BS FY21'!$A:$F),FALSE),0)</f>
        <v>301979</v>
      </c>
      <c r="D12" s="94">
        <f>IFERROR(VLOOKUP($B12,'BS FY21'!$A:$F,COLUMNS('BS FY21'!$A:$C),FALSE),0)</f>
        <v>298416</v>
      </c>
      <c r="E12" s="101">
        <f>IFERROR(VLOOKUP($B12,'BS FY23'!$A:$J,COLUMNS('BS FY23'!$A:$J),FALSE),0)</f>
        <v>286666</v>
      </c>
      <c r="F12" s="94">
        <f>IFERROR(VLOOKUP($B12,'BS FY23'!$A:$J,COLUMNS('BS FY23'!$A:$D),FALSE),0)</f>
        <v>319660</v>
      </c>
      <c r="G12" s="94">
        <f>IFERROR(VLOOKUP($B12,'BS Q1-24'!$A:$J,COLUMNS('BS Q1-24'!$A:$D),FALSE),0)</f>
        <v>322091</v>
      </c>
      <c r="H12" s="94">
        <f>IFERROR(VLOOKUP($B12,'BS Q2-24'!$A:$J,COLUMNS('BS Q2-24'!$A:$D),FALSE),0)</f>
        <v>330765</v>
      </c>
      <c r="I12" s="94">
        <f>IFERROR(VLOOKUP($B12,'BS Q3-24'!$A:$J,COLUMNS('BS Q3-24'!$A:$D),FALSE),0)</f>
        <v>344787</v>
      </c>
      <c r="J12" s="105"/>
      <c r="K12" s="105"/>
      <c r="L12" s="105"/>
      <c r="M12" s="105"/>
      <c r="N12" s="105"/>
      <c r="O12" s="105"/>
      <c r="P12" s="105"/>
      <c r="Q12" s="105"/>
      <c r="R12" s="105"/>
      <c r="Y12" s="9"/>
    </row>
    <row r="13" spans="2:34" x14ac:dyDescent="0.25">
      <c r="B13" t="s">
        <v>59</v>
      </c>
      <c r="C13" s="94">
        <f>IFERROR(VLOOKUP($B13,'BS FY21'!$A:$F,COLUMNS('BS FY21'!$A:$F),FALSE),0)</f>
        <v>677579</v>
      </c>
      <c r="D13" s="94">
        <f>IFERROR(VLOOKUP($B13,'BS FY21'!$A:$F,COLUMNS('BS FY21'!$A:$C),FALSE),0)</f>
        <v>692704</v>
      </c>
      <c r="E13" s="101">
        <f>IFERROR(VLOOKUP($B13,'BS FY23'!$A:$J,COLUMNS('BS FY23'!$A:$J),FALSE),0)</f>
        <v>710130</v>
      </c>
      <c r="F13" s="94">
        <f>IFERROR(VLOOKUP($B13,'BS FY23'!$A:$J,COLUMNS('BS FY23'!$A:$D),FALSE),0)</f>
        <v>718174</v>
      </c>
      <c r="G13" s="94">
        <f>IFERROR(VLOOKUP($B13,'BS Q1-24'!$A:$J,COLUMNS('BS Q1-24'!$A:$D),FALSE),0)</f>
        <v>718318</v>
      </c>
      <c r="H13" s="94">
        <f>IFERROR(VLOOKUP($B13,'BS Q2-24'!$A:$J,COLUMNS('BS Q2-24'!$A:$D),FALSE),0)</f>
        <v>722101</v>
      </c>
      <c r="I13" s="94">
        <f>IFERROR(VLOOKUP($B13,'BS Q3-24'!$A:$J,COLUMNS('BS Q3-24'!$A:$D),FALSE),0)</f>
        <v>721932</v>
      </c>
      <c r="J13" s="105"/>
      <c r="K13" s="105"/>
      <c r="L13" s="105"/>
      <c r="M13" s="105"/>
      <c r="N13" s="105"/>
      <c r="O13" s="105"/>
      <c r="P13" s="105"/>
      <c r="Q13" s="105"/>
      <c r="R13" s="105"/>
      <c r="Y13" s="9"/>
    </row>
    <row r="14" spans="2:34" x14ac:dyDescent="0.25">
      <c r="B14" t="s">
        <v>60</v>
      </c>
      <c r="C14" s="94">
        <f>IFERROR(VLOOKUP($B14,'BS FY21'!$A:$F,COLUMNS('BS FY21'!$A:$F),FALSE),0)</f>
        <v>104873</v>
      </c>
      <c r="D14" s="94">
        <f>IFERROR(VLOOKUP($B14,'BS FY21'!$A:$F,COLUMNS('BS FY21'!$A:$C),FALSE),0)</f>
        <v>101854</v>
      </c>
      <c r="E14" s="101">
        <f>IFERROR(VLOOKUP($B14,'BS FY23'!$A:$J,COLUMNS('BS FY23'!$A:$J),FALSE),0)</f>
        <v>114328</v>
      </c>
      <c r="F14" s="94">
        <f>IFERROR(VLOOKUP($B14,'BS FY23'!$A:$J,COLUMNS('BS FY23'!$A:$D),FALSE),0)</f>
        <v>110641</v>
      </c>
      <c r="G14" s="94">
        <f>IFERROR(VLOOKUP($B14,'BS Q1-24'!$A:$J,COLUMNS('BS Q1-24'!$A:$D),FALSE),0)</f>
        <v>106890</v>
      </c>
      <c r="H14" s="94">
        <f>IFERROR(VLOOKUP($B14,'BS Q2-24'!$A:$J,COLUMNS('BS Q2-24'!$A:$D),FALSE),0)</f>
        <v>106833</v>
      </c>
      <c r="I14" s="94">
        <f>IFERROR(VLOOKUP($B14,'BS Q3-24'!$A:$J,COLUMNS('BS Q3-24'!$A:$D),FALSE),0)</f>
        <v>102854</v>
      </c>
      <c r="J14" s="105"/>
      <c r="K14" s="105"/>
      <c r="L14" s="105"/>
      <c r="M14" s="105"/>
      <c r="N14" s="105"/>
      <c r="O14" s="105"/>
      <c r="P14" s="105"/>
      <c r="Q14" s="105"/>
      <c r="R14" s="105"/>
      <c r="Y14" s="9"/>
    </row>
    <row r="15" spans="2:34" x14ac:dyDescent="0.25">
      <c r="B15" t="s">
        <v>61</v>
      </c>
      <c r="C15" s="101">
        <f>IFERROR(VLOOKUP($B15,'BS FY21'!$A:$F,COLUMNS('BS FY21'!$A:$F),FALSE),0)</f>
        <v>56173</v>
      </c>
      <c r="D15" s="94">
        <f>IFERROR(VLOOKUP($B15,'BS FY21'!$A:$F,COLUMNS('BS FY21'!$A:$C),FALSE),0)</f>
        <v>49011</v>
      </c>
      <c r="E15" s="101">
        <f>IFERROR(VLOOKUP($B15,'BS FY23'!$A:$J,COLUMNS('BS FY23'!$A:$J),FALSE),0)</f>
        <v>64780</v>
      </c>
      <c r="F15" s="94">
        <f>IFERROR(VLOOKUP($B15,'BS FY23'!$A:$J,COLUMNS('BS FY23'!$A:$D),FALSE),0)</f>
        <v>65909</v>
      </c>
      <c r="G15" s="94">
        <f>IFERROR(VLOOKUP($B15,'BS Q1-24'!$A:$J,COLUMNS('BS Q1-24'!$A:$D),FALSE),0)</f>
        <v>61076</v>
      </c>
      <c r="H15" s="94">
        <f>IFERROR(VLOOKUP($B15,'BS Q2-24'!$A:$J,COLUMNS('BS Q2-24'!$A:$D),FALSE),0)</f>
        <v>61943</v>
      </c>
      <c r="I15" s="94">
        <f>IFERROR(VLOOKUP($B15,'BS Q3-24'!$A:$J,COLUMNS('BS Q3-24'!$A:$D),FALSE),0)</f>
        <v>60878</v>
      </c>
      <c r="J15" s="105"/>
      <c r="K15" s="105"/>
      <c r="L15" s="105"/>
      <c r="M15" s="105"/>
      <c r="N15" s="105"/>
      <c r="O15" s="105"/>
      <c r="P15" s="105"/>
      <c r="Q15" s="105"/>
      <c r="R15" s="105"/>
      <c r="Y15" s="9"/>
    </row>
    <row r="16" spans="2:34" x14ac:dyDescent="0.25">
      <c r="B16" t="s">
        <v>62</v>
      </c>
      <c r="C16" s="101">
        <f>IFERROR(VLOOKUP($B16,'BS FY21'!$A:$F,COLUMNS('BS FY21'!$A:$F),FALSE),0)</f>
        <v>4056</v>
      </c>
      <c r="D16" s="94">
        <f>IFERROR(VLOOKUP($B16,'BS FY21'!$A:$F,COLUMNS('BS FY21'!$A:$C),FALSE),0)</f>
        <v>5885</v>
      </c>
      <c r="E16" s="101">
        <f>IFERROR(VLOOKUP($B16,'BS FY23'!$A:$J,COLUMNS('BS FY23'!$A:$J),FALSE),0)</f>
        <v>9887</v>
      </c>
      <c r="F16" s="94">
        <f>IFERROR(VLOOKUP($B16,'BS FY23'!$A:$J,COLUMNS('BS FY23'!$A:$D),FALSE),0)</f>
        <v>12237</v>
      </c>
      <c r="G16" s="94">
        <f>IFERROR(VLOOKUP($B16,'BS Q1-24'!$A:$J,COLUMNS('BS Q1-24'!$A:$D),FALSE),0)</f>
        <v>14383</v>
      </c>
      <c r="H16" s="94">
        <f>IFERROR(VLOOKUP($B16,'BS Q2-24'!$A:$J,COLUMNS('BS Q2-24'!$A:$D),FALSE),0)</f>
        <v>14839</v>
      </c>
      <c r="I16" s="94">
        <f>IFERROR(VLOOKUP($B16,'BS Q3-24'!$A:$J,COLUMNS('BS Q3-24'!$A:$D),FALSE),0)</f>
        <v>24495</v>
      </c>
      <c r="J16" s="105"/>
      <c r="K16" s="105"/>
      <c r="L16" s="105"/>
      <c r="M16" s="105"/>
      <c r="N16" s="105"/>
      <c r="O16" s="105"/>
      <c r="P16" s="105"/>
      <c r="Q16" s="105"/>
      <c r="R16" s="105"/>
      <c r="Y16" s="9"/>
    </row>
    <row r="17" spans="1:25" s="4" customFormat="1" x14ac:dyDescent="0.25">
      <c r="B17" s="4" t="s">
        <v>63</v>
      </c>
      <c r="C17" s="114">
        <f>IFERROR(VLOOKUP($B17,'BS FY21'!$A:$F,COLUMNS('BS FY21'!$A:$F),FALSE),0)</f>
        <v>2382430</v>
      </c>
      <c r="D17" s="97">
        <f>IFERROR(VLOOKUP($B17,'BS FY21'!$A:$F,COLUMNS('BS FY21'!$A:$C),FALSE),0)</f>
        <v>2462115</v>
      </c>
      <c r="E17" s="114">
        <f>IFERROR(VLOOKUP($B17,'BS FY23'!$A:$J,COLUMNS('BS FY23'!$A:$J),FALSE),0)</f>
        <v>2729414</v>
      </c>
      <c r="F17" s="97">
        <f>IFERROR(VLOOKUP($B17,'BS FY23'!$A:$J,COLUMNS('BS FY23'!$A:$D),FALSE),0)</f>
        <v>2544134</v>
      </c>
      <c r="G17" s="97">
        <f>IFERROR(VLOOKUP($B17,'BS Q1-24'!$A:$J,COLUMNS('BS Q1-24'!$A:$D),FALSE),0)</f>
        <v>2493724</v>
      </c>
      <c r="H17" s="97">
        <f>IFERROR(VLOOKUP($B17,'BS Q2-24'!$A:$J,COLUMNS('BS Q2-24'!$A:$D),FALSE),0)</f>
        <v>2501394</v>
      </c>
      <c r="I17" s="97">
        <f>IFERROR(VLOOKUP($B17,'BS Q3-24'!$A:$J,COLUMNS('BS Q3-24'!$A:$D),FALSE),0)</f>
        <v>2467794</v>
      </c>
      <c r="J17" s="115"/>
      <c r="K17" s="115"/>
      <c r="L17" s="115"/>
      <c r="M17" s="115"/>
      <c r="N17" s="115"/>
      <c r="O17" s="115"/>
      <c r="P17" s="115"/>
      <c r="Q17" s="115"/>
      <c r="R17" s="115"/>
      <c r="S17"/>
      <c r="T17"/>
      <c r="U17"/>
      <c r="V17"/>
      <c r="W17"/>
      <c r="X17"/>
      <c r="Y17" s="9"/>
    </row>
    <row r="18" spans="1:25" s="4" customFormat="1" x14ac:dyDescent="0.25">
      <c r="B18" s="4" t="s">
        <v>64</v>
      </c>
      <c r="C18" s="116">
        <f>IFERROR(VLOOKUP($B18,'BS FY21'!$A:$F,COLUMNS('BS FY21'!$A:$F),FALSE),0)</f>
        <v>0</v>
      </c>
      <c r="D18" s="86">
        <f>IFERROR(VLOOKUP($B18,'BS FY21'!$A:$F,COLUMNS('BS FY21'!$A:$C),FALSE),0)</f>
        <v>0</v>
      </c>
      <c r="E18" s="86">
        <f>IFERROR(VLOOKUP($B18,'BS FY23'!$A:$J,COLUMNS('BS FY23'!$A:$J),FALSE),0)</f>
        <v>0</v>
      </c>
      <c r="F18" s="86">
        <f>IFERROR(VLOOKUP($B18,'BS FY23'!$A:$J,COLUMNS('BS FY23'!$A:$D),FALSE),0)</f>
        <v>0</v>
      </c>
      <c r="G18" s="86">
        <f>IFERROR(VLOOKUP($B18,'BS Q1-24'!$A:$J,COLUMNS('BS Q1-24'!$A:$D),FALSE),0)</f>
        <v>0</v>
      </c>
      <c r="H18" s="86">
        <f>IFERROR(VLOOKUP($B18,'BS Q2-24'!$A:$J,COLUMNS('BS Q2-24'!$A:$D),FALSE),0)</f>
        <v>0</v>
      </c>
      <c r="I18" s="86">
        <f>IFERROR(VLOOKUP($B18,'BS Q3-24'!$A:$J,COLUMNS('BS Q3-24'!$A:$D),FALSE),0)</f>
        <v>0</v>
      </c>
      <c r="J18" s="86"/>
      <c r="K18" s="86"/>
      <c r="L18" s="86"/>
      <c r="M18" s="86"/>
      <c r="N18" s="86"/>
      <c r="O18" s="86"/>
      <c r="P18" s="86"/>
      <c r="Q18" s="86"/>
      <c r="R18" s="86"/>
      <c r="S18"/>
      <c r="T18"/>
      <c r="U18"/>
      <c r="V18"/>
      <c r="W18"/>
      <c r="X18"/>
      <c r="Y18" s="9"/>
    </row>
    <row r="19" spans="1:25" s="4" customFormat="1" x14ac:dyDescent="0.25">
      <c r="B19" s="4" t="s">
        <v>65</v>
      </c>
      <c r="C19" s="116">
        <f>IFERROR(VLOOKUP($B19,'BS FY21'!$A:$F,COLUMNS('BS FY21'!$A:$F),FALSE),0)</f>
        <v>0</v>
      </c>
      <c r="D19" s="86">
        <f>IFERROR(VLOOKUP($B19,'BS FY21'!$A:$F,COLUMNS('BS FY21'!$A:$C),FALSE),0)</f>
        <v>0</v>
      </c>
      <c r="E19" s="86">
        <f>IFERROR(VLOOKUP($B19,'BS FY23'!$A:$J,COLUMNS('BS FY23'!$A:$J),FALSE),0)</f>
        <v>0</v>
      </c>
      <c r="F19" s="86">
        <f>IFERROR(VLOOKUP($B19,'BS FY23'!$A:$J,COLUMNS('BS FY23'!$A:$D),FALSE),0)</f>
        <v>0</v>
      </c>
      <c r="G19" s="86">
        <f>IFERROR(VLOOKUP($B19,'BS Q1-24'!$A:$J,COLUMNS('BS Q1-24'!$A:$D),FALSE),0)</f>
        <v>0</v>
      </c>
      <c r="H19" s="86">
        <f>IFERROR(VLOOKUP($B19,'BS Q2-24'!$A:$J,COLUMNS('BS Q2-24'!$A:$D),FALSE),0)</f>
        <v>0</v>
      </c>
      <c r="I19" s="86">
        <f>IFERROR(VLOOKUP($B19,'BS Q3-24'!$A:$J,COLUMNS('BS Q3-24'!$A:$D),FALSE),0)</f>
        <v>0</v>
      </c>
      <c r="J19" s="86"/>
      <c r="K19" s="86"/>
      <c r="L19" s="86"/>
      <c r="M19" s="86"/>
      <c r="N19" s="86"/>
      <c r="O19" s="86"/>
      <c r="P19" s="86"/>
      <c r="Q19" s="86"/>
      <c r="R19" s="86"/>
      <c r="S19"/>
      <c r="T19"/>
      <c r="U19"/>
      <c r="V19"/>
      <c r="W19"/>
      <c r="X19"/>
      <c r="Y19" s="9"/>
    </row>
    <row r="20" spans="1:25" x14ac:dyDescent="0.25">
      <c r="A20" t="s">
        <v>224</v>
      </c>
      <c r="B20" t="s">
        <v>66</v>
      </c>
      <c r="C20" s="101">
        <f>IFERROR(VLOOKUP($B20,'BS FY21'!$A:$F,COLUMNS('BS FY21'!$A:$F),FALSE),0)</f>
        <v>122248</v>
      </c>
      <c r="D20" s="94">
        <f>IFERROR(VLOOKUP($B20,'BS FY21'!$A:$F,COLUMNS('BS FY21'!$A:$C),FALSE),0)</f>
        <v>202433</v>
      </c>
      <c r="E20" s="94">
        <f>IFERROR(VLOOKUP($B20,'BS FY23'!$A:$J,COLUMNS('BS FY23'!$A:$J),FALSE),0)</f>
        <v>325680</v>
      </c>
      <c r="F20" s="94">
        <f>IFERROR(VLOOKUP($B20,'BS FY23'!$A:$J,COLUMNS('BS FY23'!$A:$D),FALSE),0)</f>
        <v>229935</v>
      </c>
      <c r="G20" s="94">
        <f>IFERROR(VLOOKUP($B20,'BS Q1-24'!$A:$J,COLUMNS('BS Q1-24'!$A:$D),FALSE),0)</f>
        <v>244048</v>
      </c>
      <c r="H20" s="94">
        <f>IFERROR(VLOOKUP($B20,'BS Q2-24'!$A:$J,COLUMNS('BS Q2-24'!$A:$D),FALSE),0)</f>
        <v>257829</v>
      </c>
      <c r="I20" s="94">
        <f>IFERROR(VLOOKUP($B20,'BS Q3-24'!$A:$J,COLUMNS('BS Q3-24'!$A:$D),FALSE),0)</f>
        <v>206335</v>
      </c>
      <c r="J20" s="105">
        <f>I20</f>
        <v>206335</v>
      </c>
      <c r="K20" s="105">
        <f t="shared" ref="K20:R20" si="4">J20</f>
        <v>206335</v>
      </c>
      <c r="L20" s="105">
        <f t="shared" si="4"/>
        <v>206335</v>
      </c>
      <c r="M20" s="105">
        <f t="shared" si="4"/>
        <v>206335</v>
      </c>
      <c r="N20" s="105">
        <f t="shared" si="4"/>
        <v>206335</v>
      </c>
      <c r="O20" s="105">
        <f t="shared" si="4"/>
        <v>206335</v>
      </c>
      <c r="P20" s="105">
        <f t="shared" si="4"/>
        <v>206335</v>
      </c>
      <c r="Q20" s="105">
        <f t="shared" si="4"/>
        <v>206335</v>
      </c>
      <c r="R20" s="105">
        <f t="shared" si="4"/>
        <v>206335</v>
      </c>
      <c r="Y20" s="9"/>
    </row>
    <row r="21" spans="1:25" x14ac:dyDescent="0.25">
      <c r="B21" t="s">
        <v>67</v>
      </c>
      <c r="C21" s="94">
        <f>IFERROR(VLOOKUP($B21,'BS FY21'!$A:$F,COLUMNS('BS FY21'!$A:$F),FALSE),0)</f>
        <v>21815</v>
      </c>
      <c r="D21" s="94">
        <f>IFERROR(VLOOKUP($B21,'BS FY21'!$A:$F,COLUMNS('BS FY21'!$A:$C),FALSE),0)</f>
        <v>13927</v>
      </c>
      <c r="E21" s="94">
        <f>IFERROR(VLOOKUP($B21,'BS FY23'!$A:$J,COLUMNS('BS FY23'!$A:$J),FALSE),0)</f>
        <v>18560</v>
      </c>
      <c r="F21" s="94">
        <f>IFERROR(VLOOKUP($B21,'BS FY23'!$A:$J,COLUMNS('BS FY23'!$A:$D),FALSE),0)</f>
        <v>21168</v>
      </c>
      <c r="G21" s="94">
        <f>IFERROR(VLOOKUP($B21,'BS Q1-24'!$A:$J,COLUMNS('BS Q1-24'!$A:$D),FALSE),0)</f>
        <v>20694</v>
      </c>
      <c r="H21" s="94">
        <f>IFERROR(VLOOKUP($B21,'BS Q2-24'!$A:$J,COLUMNS('BS Q2-24'!$A:$D),FALSE),0)</f>
        <v>21686</v>
      </c>
      <c r="I21" s="94">
        <f>IFERROR(VLOOKUP($B21,'BS Q3-24'!$A:$J,COLUMNS('BS Q3-24'!$A:$D),FALSE),0)</f>
        <v>22235</v>
      </c>
      <c r="J21" s="105">
        <f>I21/I$49*J$49</f>
        <v>23182.56934112811</v>
      </c>
      <c r="K21" s="105">
        <f t="shared" ref="K21:R21" si="5">J21/J$49*K$49</f>
        <v>23182.56934112811</v>
      </c>
      <c r="L21" s="105">
        <f t="shared" si="5"/>
        <v>22568.338762333591</v>
      </c>
      <c r="M21" s="105">
        <f t="shared" si="5"/>
        <v>23624.537016410803</v>
      </c>
      <c r="N21" s="105">
        <f t="shared" si="5"/>
        <v>25362.628213784948</v>
      </c>
      <c r="O21" s="105">
        <f t="shared" si="5"/>
        <v>26032.77367511679</v>
      </c>
      <c r="P21" s="105">
        <f t="shared" si="5"/>
        <v>27356.504545174303</v>
      </c>
      <c r="Q21" s="105">
        <f t="shared" si="5"/>
        <v>28420.054673141989</v>
      </c>
      <c r="R21" s="105">
        <f t="shared" si="5"/>
        <v>29708.061071491025</v>
      </c>
      <c r="Y21" s="9"/>
    </row>
    <row r="22" spans="1:25" x14ac:dyDescent="0.25">
      <c r="B22" t="s">
        <v>68</v>
      </c>
      <c r="C22" s="94">
        <f>IFERROR(VLOOKUP($B22,'BS FY21'!$A:$F,COLUMNS('BS FY21'!$A:$F),FALSE),0)</f>
        <v>125775</v>
      </c>
      <c r="D22" s="94">
        <f>IFERROR(VLOOKUP($B22,'BS FY21'!$A:$F,COLUMNS('BS FY21'!$A:$C),FALSE),0)</f>
        <v>186330</v>
      </c>
      <c r="E22" s="94">
        <f>IFERROR(VLOOKUP($B22,'BS FY23'!$A:$J,COLUMNS('BS FY23'!$A:$J),FALSE),0)</f>
        <v>217378</v>
      </c>
      <c r="F22" s="94">
        <f>IFERROR(VLOOKUP($B22,'BS FY23'!$A:$J,COLUMNS('BS FY23'!$A:$D),FALSE),0)</f>
        <v>226299</v>
      </c>
      <c r="G22" s="94">
        <f>IFERROR(VLOOKUP($B22,'BS Q1-24'!$A:$J,COLUMNS('BS Q1-24'!$A:$D),FALSE),0)</f>
        <v>188976</v>
      </c>
      <c r="H22" s="94">
        <f>IFERROR(VLOOKUP($B22,'BS Q2-24'!$A:$J,COLUMNS('BS Q2-24'!$A:$D),FALSE),0)</f>
        <v>208111</v>
      </c>
      <c r="I22" s="94">
        <f>IFERROR(VLOOKUP($B22,'BS Q3-24'!$A:$J,COLUMNS('BS Q3-24'!$A:$D),FALSE),0)</f>
        <v>205644</v>
      </c>
      <c r="J22" s="105">
        <f t="shared" ref="J22:R23" si="6">I22/I$49*J$49</f>
        <v>214407.7485759815</v>
      </c>
      <c r="K22" s="105">
        <f t="shared" si="6"/>
        <v>214407.7485759815</v>
      </c>
      <c r="L22" s="105">
        <f t="shared" si="6"/>
        <v>208726.93755076808</v>
      </c>
      <c r="M22" s="105">
        <f t="shared" si="6"/>
        <v>218495.35822814403</v>
      </c>
      <c r="N22" s="105">
        <f t="shared" si="6"/>
        <v>234570.37627144551</v>
      </c>
      <c r="O22" s="105">
        <f t="shared" si="6"/>
        <v>240768.32514709764</v>
      </c>
      <c r="P22" s="105">
        <f t="shared" si="6"/>
        <v>253011.06456882501</v>
      </c>
      <c r="Q22" s="105">
        <f t="shared" si="6"/>
        <v>262847.48024302273</v>
      </c>
      <c r="R22" s="105">
        <f t="shared" si="6"/>
        <v>274759.81610009895</v>
      </c>
      <c r="Y22" s="9"/>
    </row>
    <row r="23" spans="1:25" x14ac:dyDescent="0.25">
      <c r="B23" t="s">
        <v>69</v>
      </c>
      <c r="C23" s="94">
        <f>IFERROR(VLOOKUP($B23,'BS FY21'!$A:$F,COLUMNS('BS FY21'!$A:$F),FALSE),0)</f>
        <v>138895</v>
      </c>
      <c r="D23" s="94">
        <f>IFERROR(VLOOKUP($B23,'BS FY21'!$A:$F,COLUMNS('BS FY21'!$A:$C),FALSE),0)</f>
        <v>159238</v>
      </c>
      <c r="E23" s="94">
        <f>IFERROR(VLOOKUP($B23,'BS FY23'!$A:$J,COLUMNS('BS FY23'!$A:$J),FALSE),0)</f>
        <v>164326</v>
      </c>
      <c r="F23" s="94">
        <f>IFERROR(VLOOKUP($B23,'BS FY23'!$A:$J,COLUMNS('BS FY23'!$A:$D),FALSE),0)</f>
        <v>172034</v>
      </c>
      <c r="G23" s="94">
        <f>IFERROR(VLOOKUP($B23,'BS Q1-24'!$A:$J,COLUMNS('BS Q1-24'!$A:$D),FALSE),0)</f>
        <v>174140</v>
      </c>
      <c r="H23" s="94">
        <f>IFERROR(VLOOKUP($B23,'BS Q2-24'!$A:$J,COLUMNS('BS Q2-24'!$A:$D),FALSE),0)</f>
        <v>142804</v>
      </c>
      <c r="I23" s="94">
        <f>IFERROR(VLOOKUP($B23,'BS Q3-24'!$A:$J,COLUMNS('BS Q3-24'!$A:$D),FALSE),0)</f>
        <v>149298</v>
      </c>
      <c r="J23" s="105">
        <f t="shared" si="6"/>
        <v>155660.5008991115</v>
      </c>
      <c r="K23" s="105">
        <f t="shared" si="6"/>
        <v>155660.5008991115</v>
      </c>
      <c r="L23" s="105">
        <f t="shared" si="6"/>
        <v>151536.21949803823</v>
      </c>
      <c r="M23" s="105">
        <f t="shared" si="6"/>
        <v>158628.11457054643</v>
      </c>
      <c r="N23" s="105">
        <f t="shared" si="6"/>
        <v>170298.61331511871</v>
      </c>
      <c r="O23" s="105">
        <f t="shared" si="6"/>
        <v>174798.33794232455</v>
      </c>
      <c r="P23" s="105">
        <f t="shared" si="6"/>
        <v>183686.59390984636</v>
      </c>
      <c r="Q23" s="105">
        <f t="shared" si="6"/>
        <v>190827.85350082093</v>
      </c>
      <c r="R23" s="105">
        <f t="shared" si="6"/>
        <v>199476.23574776109</v>
      </c>
      <c r="Y23" s="9"/>
    </row>
    <row r="24" spans="1:25" x14ac:dyDescent="0.25">
      <c r="B24" s="4" t="s">
        <v>70</v>
      </c>
      <c r="C24" s="97">
        <f>IFERROR(VLOOKUP($B24,'BS FY21'!$A:$F,COLUMNS('BS FY21'!$A:$F),FALSE),0)</f>
        <v>408733</v>
      </c>
      <c r="D24" s="97">
        <f>IFERROR(VLOOKUP($B24,'BS FY21'!$A:$F,COLUMNS('BS FY21'!$A:$C),FALSE),0)</f>
        <v>561928</v>
      </c>
      <c r="E24" s="97">
        <f>IFERROR(VLOOKUP($B24,'BS FY23'!$A:$J,COLUMNS('BS FY23'!$A:$J),FALSE),0)</f>
        <v>725944</v>
      </c>
      <c r="F24" s="97">
        <f>IFERROR(VLOOKUP($B24,'BS FY23'!$A:$J,COLUMNS('BS FY23'!$A:$D),FALSE),0)</f>
        <v>649436</v>
      </c>
      <c r="G24" s="97">
        <f>IFERROR(VLOOKUP($B24,'BS Q1-24'!$A:$J,COLUMNS('BS Q1-24'!$A:$D),FALSE),0)</f>
        <v>627858</v>
      </c>
      <c r="H24" s="97">
        <f>IFERROR(VLOOKUP($B24,'BS Q2-24'!$A:$J,COLUMNS('BS Q2-24'!$A:$D),FALSE),0)</f>
        <v>630430</v>
      </c>
      <c r="I24" s="97">
        <f>IFERROR(VLOOKUP($B24,'BS Q3-24'!$A:$J,COLUMNS('BS Q3-24'!$A:$D),FALSE),0)</f>
        <v>583512</v>
      </c>
      <c r="J24" s="115">
        <f>(I24-I20)/I49*J49+J20</f>
        <v>599585.81881622109</v>
      </c>
      <c r="K24" s="115">
        <f t="shared" ref="K24:R24" si="7">(J24-J20)/J49*K49+K20</f>
        <v>599585.81881622109</v>
      </c>
      <c r="L24" s="115">
        <f t="shared" si="7"/>
        <v>589166.49581113993</v>
      </c>
      <c r="M24" s="115">
        <f t="shared" si="7"/>
        <v>607083.00981510128</v>
      </c>
      <c r="N24" s="115">
        <f t="shared" si="7"/>
        <v>636566.61780034914</v>
      </c>
      <c r="O24" s="115">
        <f t="shared" si="7"/>
        <v>647934.43676453899</v>
      </c>
      <c r="P24" s="115">
        <f t="shared" si="7"/>
        <v>670389.16302384553</v>
      </c>
      <c r="Q24" s="115">
        <f t="shared" si="7"/>
        <v>688430.38841698552</v>
      </c>
      <c r="R24" s="115">
        <f t="shared" si="7"/>
        <v>710279.11291935085</v>
      </c>
      <c r="Y24" s="9"/>
    </row>
    <row r="25" spans="1:25" x14ac:dyDescent="0.25">
      <c r="A25" t="s">
        <v>224</v>
      </c>
      <c r="B25" t="s">
        <v>71</v>
      </c>
      <c r="C25" s="94">
        <f>IFERROR(VLOOKUP($B25,'BS FY21'!$A:$F,COLUMNS('BS FY21'!$A:$F),FALSE),0)</f>
        <v>497018</v>
      </c>
      <c r="D25" s="94">
        <f>IFERROR(VLOOKUP($B25,'BS FY21'!$A:$F,COLUMNS('BS FY21'!$A:$C),FALSE),0)</f>
        <v>583616</v>
      </c>
      <c r="E25" s="94">
        <f>IFERROR(VLOOKUP($B25,'BS FY23'!$A:$J,COLUMNS('BS FY23'!$A:$J),FALSE),0)</f>
        <v>468912</v>
      </c>
      <c r="F25" s="94">
        <f>IFERROR(VLOOKUP($B25,'BS FY23'!$A:$J,COLUMNS('BS FY23'!$A:$D),FALSE),0)</f>
        <v>224391</v>
      </c>
      <c r="G25" s="94">
        <f>IFERROR(VLOOKUP($B25,'BS Q1-24'!$A:$J,COLUMNS('BS Q1-24'!$A:$D),FALSE),0)</f>
        <v>294430</v>
      </c>
      <c r="H25" s="94">
        <f>IFERROR(VLOOKUP($B25,'BS Q2-24'!$A:$J,COLUMNS('BS Q2-24'!$A:$D),FALSE),0)</f>
        <v>294474</v>
      </c>
      <c r="I25" s="94">
        <f>IFERROR(VLOOKUP($B25,'BS Q3-24'!$A:$J,COLUMNS('BS Q3-24'!$A:$D),FALSE),0)</f>
        <v>299812</v>
      </c>
      <c r="J25" s="105"/>
      <c r="K25" s="105"/>
      <c r="L25" s="105"/>
      <c r="M25" s="105"/>
      <c r="N25" s="105"/>
      <c r="O25" s="105"/>
      <c r="P25" s="105"/>
      <c r="Q25" s="105"/>
      <c r="R25" s="105"/>
      <c r="Y25" s="9"/>
    </row>
    <row r="26" spans="1:25" x14ac:dyDescent="0.25">
      <c r="B26" t="s">
        <v>72</v>
      </c>
      <c r="C26" s="101">
        <f>IFERROR(VLOOKUP($B26,'BS FY21'!$A:$F,COLUMNS('BS FY21'!$A:$F),FALSE),0)</f>
        <v>34379</v>
      </c>
      <c r="D26" s="94">
        <f>IFERROR(VLOOKUP($B26,'BS FY21'!$A:$F,COLUMNS('BS FY21'!$A:$C),FALSE),0)</f>
        <v>36429</v>
      </c>
      <c r="E26" s="94">
        <f>IFERROR(VLOOKUP($B26,'BS FY23'!$A:$J,COLUMNS('BS FY23'!$A:$J),FALSE),0)</f>
        <v>47616</v>
      </c>
      <c r="F26" s="94">
        <f>IFERROR(VLOOKUP($B26,'BS FY23'!$A:$J,COLUMNS('BS FY23'!$A:$D),FALSE),0)</f>
        <v>45924</v>
      </c>
      <c r="G26" s="94">
        <f>IFERROR(VLOOKUP($B26,'BS Q1-24'!$A:$J,COLUMNS('BS Q1-24'!$A:$D),FALSE),0)</f>
        <v>41410</v>
      </c>
      <c r="H26" s="94">
        <f>IFERROR(VLOOKUP($B26,'BS Q2-24'!$A:$J,COLUMNS('BS Q2-24'!$A:$D),FALSE),0)</f>
        <v>41230</v>
      </c>
      <c r="I26" s="94">
        <f>IFERROR(VLOOKUP($B26,'BS Q3-24'!$A:$J,COLUMNS('BS Q3-24'!$A:$D),FALSE),0)</f>
        <v>39532</v>
      </c>
      <c r="J26" s="105"/>
      <c r="K26" s="105"/>
      <c r="L26" s="105"/>
      <c r="M26" s="105"/>
      <c r="N26" s="105"/>
      <c r="O26" s="105"/>
      <c r="P26" s="105"/>
      <c r="Q26" s="105"/>
      <c r="Y26" s="9"/>
    </row>
    <row r="27" spans="1:25" x14ac:dyDescent="0.25">
      <c r="B27" t="s">
        <v>73</v>
      </c>
      <c r="C27" s="101">
        <f>IFERROR(VLOOKUP($B27,'BS FY21'!$A:$F,COLUMNS('BS FY21'!$A:$F),FALSE),0)</f>
        <v>121727</v>
      </c>
      <c r="D27" s="94">
        <f>IFERROR(VLOOKUP($B27,'BS FY21'!$A:$F,COLUMNS('BS FY21'!$A:$C),FALSE),0)</f>
        <v>108827</v>
      </c>
      <c r="E27" s="94">
        <f>IFERROR(VLOOKUP($B27,'BS FY23'!$A:$J,COLUMNS('BS FY23'!$A:$J),FALSE),0)</f>
        <v>124659</v>
      </c>
      <c r="F27" s="94">
        <f>IFERROR(VLOOKUP($B27,'BS FY23'!$A:$J,COLUMNS('BS FY23'!$A:$D),FALSE),0)</f>
        <v>131801</v>
      </c>
      <c r="G27" s="94">
        <f>IFERROR(VLOOKUP($B27,'BS Q1-24'!$A:$J,COLUMNS('BS Q1-24'!$A:$D),FALSE),0)</f>
        <v>131801</v>
      </c>
      <c r="H27" s="94">
        <f>IFERROR(VLOOKUP($B27,'BS Q2-24'!$A:$J,COLUMNS('BS Q2-24'!$A:$D),FALSE),0)</f>
        <v>131761</v>
      </c>
      <c r="I27" s="94">
        <f>IFERROR(VLOOKUP($B27,'BS Q3-24'!$A:$J,COLUMNS('BS Q3-24'!$A:$D),FALSE),0)</f>
        <v>130729</v>
      </c>
      <c r="J27" s="105"/>
      <c r="K27" s="105"/>
      <c r="L27" s="105"/>
      <c r="M27" s="105"/>
      <c r="N27" s="105"/>
      <c r="O27" s="105"/>
      <c r="P27" s="105"/>
      <c r="Q27" s="105"/>
      <c r="Y27" s="9"/>
    </row>
    <row r="28" spans="1:25" x14ac:dyDescent="0.25">
      <c r="B28" t="s">
        <v>170</v>
      </c>
      <c r="C28" s="105">
        <v>0</v>
      </c>
      <c r="D28" s="105">
        <f>IFERROR(VLOOKUP($B28,'BS FY21'!$A:$F,COLUMNS('BS FY21'!$A:$C),FALSE),0)</f>
        <v>9443</v>
      </c>
      <c r="E28" s="105">
        <f>IFERROR(VLOOKUP($B28,'BS FY23'!$A:$J,COLUMNS('BS FY23'!$A:$J),FALSE),0)</f>
        <v>0</v>
      </c>
      <c r="F28" s="105">
        <f>IFERROR(VLOOKUP($B28,'BS FY23'!$A:$J,COLUMNS('BS FY23'!$A:$D),FALSE),0)</f>
        <v>0</v>
      </c>
      <c r="G28" s="105">
        <f>IFERROR(VLOOKUP($B28,'BS Q1-24'!$A:$J,COLUMNS('BS Q1-24'!$A:$D),FALSE),0)</f>
        <v>0</v>
      </c>
      <c r="H28" s="105">
        <f>IFERROR(VLOOKUP($B28,'BS Q2-24'!$A:$J,COLUMNS('BS Q2-24'!$A:$D),FALSE),0)</f>
        <v>0</v>
      </c>
      <c r="I28" s="105">
        <f>IFERROR(VLOOKUP($B28,'BS Q3-24'!$A:$J,COLUMNS('BS Q3-24'!$A:$D),FALSE),0)</f>
        <v>0</v>
      </c>
      <c r="J28" s="105"/>
      <c r="Y28" s="9"/>
    </row>
    <row r="29" spans="1:25" x14ac:dyDescent="0.25">
      <c r="B29" s="4" t="s">
        <v>74</v>
      </c>
      <c r="C29" s="97">
        <f>IFERROR(VLOOKUP($B29,'BS FY21'!$A:$F,COLUMNS('BS FY21'!$A:$F),FALSE),0)</f>
        <v>1061857</v>
      </c>
      <c r="D29" s="97">
        <f>IFERROR(VLOOKUP($B29,'BS FY21'!$A:$F,COLUMNS('BS FY21'!$A:$C),FALSE),0)</f>
        <v>1300243</v>
      </c>
      <c r="E29" s="97">
        <f>IFERROR(VLOOKUP($B29,'BS FY23'!$A:$J,COLUMNS('BS FY23'!$A:$J),FALSE),0)</f>
        <v>1367131</v>
      </c>
      <c r="F29" s="97">
        <f>IFERROR(VLOOKUP($B29,'BS FY23'!$A:$J,COLUMNS('BS FY23'!$A:$D),FALSE),0)</f>
        <v>1051552</v>
      </c>
      <c r="G29" s="97">
        <f>IFERROR(VLOOKUP($B29,'BS Q1-24'!$A:$J,COLUMNS('BS Q1-24'!$A:$D),FALSE),0)</f>
        <v>1095499</v>
      </c>
      <c r="H29" s="97">
        <f>IFERROR(VLOOKUP($B29,'BS Q2-24'!$A:$J,COLUMNS('BS Q2-24'!$A:$D),FALSE),0)</f>
        <v>1097895</v>
      </c>
      <c r="I29" s="97">
        <f>IFERROR(VLOOKUP($B29,'BS Q3-24'!$A:$J,COLUMNS('BS Q3-24'!$A:$D),FALSE),0)</f>
        <v>1053585</v>
      </c>
      <c r="J29" s="115"/>
      <c r="K29" s="113"/>
      <c r="L29" s="113"/>
      <c r="M29" s="113"/>
      <c r="N29" s="113"/>
      <c r="O29" s="113"/>
      <c r="P29" s="113"/>
      <c r="Q29" s="113"/>
      <c r="Y29" s="9"/>
    </row>
    <row r="30" spans="1:25" x14ac:dyDescent="0.25">
      <c r="B30" t="s">
        <v>75</v>
      </c>
      <c r="C30" s="107">
        <f>IFERROR(VLOOKUP($B30,'BS FY21'!$A:$F,COLUMNS('BS FY21'!$A:$F),FALSE),0)</f>
        <v>0</v>
      </c>
      <c r="D30" s="107">
        <f>IFERROR(VLOOKUP($B30,'BS FY21'!$A:$F,COLUMNS('BS FY21'!$A:$C),FALSE),0)</f>
        <v>0</v>
      </c>
      <c r="E30" s="107">
        <f>IFERROR(VLOOKUP($B30,'BS FY23'!$A:$J,COLUMNS('BS FY23'!$A:$J),FALSE),0)</f>
        <v>0</v>
      </c>
      <c r="F30" s="107">
        <f>IFERROR(VLOOKUP($B30,'BS FY23'!$A:$J,COLUMNS('BS FY23'!$A:$D),FALSE),0)</f>
        <v>0</v>
      </c>
      <c r="G30" s="107">
        <f>IFERROR(VLOOKUP($B30,'BS Q1-24'!$A:$J,COLUMNS('BS Q1-24'!$A:$D),FALSE),0)</f>
        <v>0</v>
      </c>
      <c r="H30" s="107">
        <f>IFERROR(VLOOKUP($B30,'BS Q2-24'!$A:$J,COLUMNS('BS Q2-24'!$A:$D),FALSE),0)</f>
        <v>0</v>
      </c>
      <c r="I30" s="107">
        <f>IFERROR(VLOOKUP($B30,'BS Q3-24'!$A:$J,COLUMNS('BS Q3-24'!$A:$D),FALSE),0)</f>
        <v>0</v>
      </c>
      <c r="J30" s="105"/>
      <c r="K30" s="117"/>
      <c r="Y30" s="9"/>
    </row>
    <row r="31" spans="1:25" x14ac:dyDescent="0.25">
      <c r="B31" t="s">
        <v>76</v>
      </c>
      <c r="C31" s="107">
        <f>IFERROR(VLOOKUP($B31,'BS FY21'!$A:$F,COLUMNS('BS FY21'!$A:$F),FALSE),0)</f>
        <v>0</v>
      </c>
      <c r="D31" s="107">
        <f>IFERROR(VLOOKUP($B31,'BS FY21'!$A:$F,COLUMNS('BS FY21'!$A:$C),FALSE),0)</f>
        <v>0</v>
      </c>
      <c r="E31" s="107">
        <f>IFERROR(VLOOKUP($B31,'BS FY23'!$A:$J,COLUMNS('BS FY23'!$A:$J),FALSE),0)</f>
        <v>0</v>
      </c>
      <c r="F31" s="107">
        <f>IFERROR(VLOOKUP($B31,'BS FY23'!$A:$J,COLUMNS('BS FY23'!$A:$D),FALSE),0)</f>
        <v>0</v>
      </c>
      <c r="G31" s="107">
        <f>IFERROR(VLOOKUP($B31,'BS Q1-24'!$A:$J,COLUMNS('BS Q1-24'!$A:$D),FALSE),0)</f>
        <v>0</v>
      </c>
      <c r="H31" s="107">
        <f>IFERROR(VLOOKUP($B31,'BS Q2-24'!$A:$J,COLUMNS('BS Q2-24'!$A:$D),FALSE),0)</f>
        <v>0</v>
      </c>
      <c r="I31" s="107">
        <f>IFERROR(VLOOKUP($B31,'BS Q3-24'!$A:$J,COLUMNS('BS Q3-24'!$A:$D),FALSE),0)</f>
        <v>0</v>
      </c>
      <c r="J31" s="105"/>
      <c r="Y31" s="9"/>
    </row>
    <row r="32" spans="1:25" x14ac:dyDescent="0.25">
      <c r="B32" t="s">
        <v>77</v>
      </c>
      <c r="C32" s="107">
        <f>IFERROR(VLOOKUP($B32,'BS FY21'!$A:$F,COLUMNS('BS FY21'!$A:$F),FALSE),0)</f>
        <v>0</v>
      </c>
      <c r="D32" s="107">
        <f>IFERROR(VLOOKUP($B32,'BS FY21'!$A:$F,COLUMNS('BS FY21'!$A:$C),FALSE),0)</f>
        <v>0</v>
      </c>
      <c r="E32" s="107">
        <f>IFERROR(VLOOKUP($B32,'BS FY23'!$A:$J,COLUMNS('BS FY23'!$A:$J),FALSE),0)</f>
        <v>0</v>
      </c>
      <c r="F32" s="107">
        <f>IFERROR(VLOOKUP($B32,'BS FY23'!$A:$J,COLUMNS('BS FY23'!$A:$D),FALSE),0)</f>
        <v>0</v>
      </c>
      <c r="G32" s="107">
        <f>IFERROR(VLOOKUP($B32,'BS Q1-24'!$A:$J,COLUMNS('BS Q1-24'!$A:$D),FALSE),0)</f>
        <v>0</v>
      </c>
      <c r="H32" s="107">
        <f>IFERROR(VLOOKUP($B32,'BS Q2-24'!$A:$J,COLUMNS('BS Q2-24'!$A:$D),FALSE),0)</f>
        <v>0</v>
      </c>
      <c r="I32" s="107">
        <f>IFERROR(VLOOKUP($B32,'BS Q3-24'!$A:$J,COLUMNS('BS Q3-24'!$A:$D),FALSE),0)</f>
        <v>0</v>
      </c>
      <c r="J32" s="105"/>
      <c r="Y32" s="9"/>
    </row>
    <row r="33" spans="2:25" x14ac:dyDescent="0.25">
      <c r="B33" t="s">
        <v>203</v>
      </c>
      <c r="C33" s="107">
        <v>0</v>
      </c>
      <c r="D33" s="107">
        <v>0</v>
      </c>
      <c r="E33" s="107">
        <v>0</v>
      </c>
      <c r="F33" s="107">
        <v>0</v>
      </c>
      <c r="G33" s="107">
        <v>0</v>
      </c>
      <c r="H33" s="107">
        <v>0</v>
      </c>
      <c r="I33" s="107">
        <v>0</v>
      </c>
      <c r="J33" s="105"/>
      <c r="Y33" s="9"/>
    </row>
    <row r="34" spans="2:25" x14ac:dyDescent="0.25">
      <c r="B34" t="s">
        <v>210</v>
      </c>
      <c r="C34" s="94">
        <f>IFERROR(VLOOKUP($B34,'BS FY21'!$A:$F,COLUMNS('BS FY21'!$A:$F),FALSE),0)</f>
        <v>47</v>
      </c>
      <c r="D34" s="94">
        <f>IFERROR(VLOOKUP($B34,'BS FY21'!$A:$F,COLUMNS('BS FY21'!$A:$C),FALSE),0)</f>
        <v>48</v>
      </c>
      <c r="E34" s="94">
        <f>IFERROR(VLOOKUP($B34,'BS FY23'!$A:$J,COLUMNS('BS FY23'!$A:$J),FALSE),0)</f>
        <v>48</v>
      </c>
      <c r="F34" s="94">
        <f>IFERROR(VLOOKUP($B34,'BS FY23'!$A:$J,COLUMNS('BS FY23'!$A:$D),FALSE),0)</f>
        <v>48</v>
      </c>
      <c r="G34" s="94">
        <f>IFERROR(VLOOKUP($B34,'BS Q1-24'!$A:$J,COLUMNS('BS Q1-24'!$A:$D),FALSE),0)</f>
        <v>58</v>
      </c>
      <c r="H34" s="94">
        <f>IFERROR(VLOOKUP($B34,'BS Q2-24'!$A:$J,COLUMNS('BS Q2-24'!$A:$D),FALSE),0)</f>
        <v>58</v>
      </c>
      <c r="I34" s="94">
        <f>IFERROR(VLOOKUP($B34,'BS Q3-24'!$A:$J,COLUMNS('BS Q3-24'!$A:$D),FALSE),0)</f>
        <v>57</v>
      </c>
      <c r="J34" s="105"/>
      <c r="Y34" s="9"/>
    </row>
    <row r="35" spans="2:25" x14ac:dyDescent="0.25">
      <c r="B35" t="s">
        <v>211</v>
      </c>
      <c r="C35" s="105">
        <f>IFERROR(VLOOKUP($B35,'BS FY21'!$A:$F,COLUMNS('BS FY21'!$A:$F),FALSE),0)</f>
        <v>10</v>
      </c>
      <c r="D35" s="105">
        <f>IFERROR(VLOOKUP($B35,'BS FY21'!$A:$F,COLUMNS('BS FY21'!$A:$C),FALSE),0)</f>
        <v>9</v>
      </c>
      <c r="E35" s="105">
        <f>IFERROR(VLOOKUP($B35,'BS FY23'!$A:$J,COLUMNS('BS FY23'!$A:$J),FALSE),0)</f>
        <v>9</v>
      </c>
      <c r="F35" s="105">
        <f>IFERROR(VLOOKUP($B35,'BS FY23'!$A:$J,COLUMNS('BS FY23'!$A:$D),FALSE),0)</f>
        <v>9</v>
      </c>
      <c r="G35" s="105">
        <v>0</v>
      </c>
      <c r="H35" s="105">
        <v>0</v>
      </c>
      <c r="I35" s="105">
        <v>0</v>
      </c>
      <c r="J35" s="105"/>
      <c r="Y35" s="9"/>
    </row>
    <row r="36" spans="2:25" x14ac:dyDescent="0.25">
      <c r="B36" t="s">
        <v>79</v>
      </c>
      <c r="C36" s="94">
        <f>IFERROR(VLOOKUP($B36,'BS FY21'!$A:$F,COLUMNS('BS FY21'!$A:$F),FALSE),0)</f>
        <v>690739</v>
      </c>
      <c r="D36" s="94">
        <f>IFERROR(VLOOKUP($B36,'BS FY21'!$A:$F,COLUMNS('BS FY21'!$A:$C),FALSE),0)</f>
        <v>740867</v>
      </c>
      <c r="E36" s="94">
        <f>IFERROR(VLOOKUP($B36,'BS FY23'!$A:$J,COLUMNS('BS FY23'!$A:$J),FALSE),0)</f>
        <v>798408</v>
      </c>
      <c r="F36" s="94">
        <f>IFERROR(VLOOKUP($B36,'BS FY23'!$A:$J,COLUMNS('BS FY23'!$A:$D),FALSE),0)</f>
        <v>849502</v>
      </c>
      <c r="G36" s="94">
        <f>IFERROR(VLOOKUP($B36,'BS Q1-24'!$A:$J,COLUMNS('BS Q1-24'!$A:$D),FALSE),0)</f>
        <v>1052729</v>
      </c>
      <c r="H36" s="94">
        <f>IFERROR(VLOOKUP($B36,'BS Q2-24'!$A:$J,COLUMNS('BS Q2-24'!$A:$D),FALSE),0)</f>
        <v>1059405</v>
      </c>
      <c r="I36" s="94">
        <f>IFERROR(VLOOKUP($B36,'BS Q3-24'!$A:$J,COLUMNS('BS Q3-24'!$A:$D),FALSE),0)</f>
        <v>1063738</v>
      </c>
      <c r="J36" s="105"/>
      <c r="R36" s="9"/>
      <c r="Y36" s="9"/>
    </row>
    <row r="37" spans="2:25" x14ac:dyDescent="0.25">
      <c r="B37" t="s">
        <v>80</v>
      </c>
      <c r="C37" s="94">
        <f>IFERROR(VLOOKUP($B37,'BS FY21'!$A:$F,COLUMNS('BS FY21'!$A:$F),FALSE),0)</f>
        <v>749515</v>
      </c>
      <c r="D37" s="94">
        <f>IFERROR(VLOOKUP($B37,'BS FY21'!$A:$F,COLUMNS('BS FY21'!$A:$C),FALSE),0)</f>
        <v>532315</v>
      </c>
      <c r="E37" s="94">
        <f>IFERROR(VLOOKUP($B37,'BS FY23'!$A:$J,COLUMNS('BS FY23'!$A:$J),FALSE),0)</f>
        <v>681292</v>
      </c>
      <c r="F37" s="94">
        <f>IFERROR(VLOOKUP($B37,'BS FY23'!$A:$J,COLUMNS('BS FY23'!$A:$D),FALSE),0)</f>
        <v>755007</v>
      </c>
      <c r="G37" s="94">
        <f>IFERROR(VLOOKUP($B37,'BS Q1-24'!$A:$J,COLUMNS('BS Q1-24'!$A:$D),FALSE),0)</f>
        <v>464962</v>
      </c>
      <c r="H37" s="94">
        <f>IFERROR(VLOOKUP($B37,'BS Q2-24'!$A:$J,COLUMNS('BS Q2-24'!$A:$D),FALSE),0)</f>
        <v>463874</v>
      </c>
      <c r="I37" s="94">
        <f>IFERROR(VLOOKUP($B37,'BS Q3-24'!$A:$J,COLUMNS('BS Q3-24'!$A:$D),FALSE),0)</f>
        <v>470085</v>
      </c>
      <c r="J37" s="105"/>
      <c r="Y37" s="9"/>
    </row>
    <row r="38" spans="2:25" x14ac:dyDescent="0.25">
      <c r="B38" t="s">
        <v>81</v>
      </c>
      <c r="C38" s="94">
        <f>IFERROR(VLOOKUP($B38,'BS FY21'!$A:$F,COLUMNS('BS FY21'!$A:$F),FALSE),0)</f>
        <v>-21418</v>
      </c>
      <c r="D38" s="94">
        <f>IFERROR(VLOOKUP($B38,'BS FY21'!$A:$F,COLUMNS('BS FY21'!$A:$C),FALSE),0)</f>
        <v>-17984</v>
      </c>
      <c r="E38" s="94">
        <f>IFERROR(VLOOKUP($B38,'BS FY23'!$A:$J,COLUMNS('BS FY23'!$A:$J),FALSE),0)</f>
        <v>-23121</v>
      </c>
      <c r="F38" s="94">
        <f>IFERROR(VLOOKUP($B38,'BS FY23'!$A:$J,COLUMNS('BS FY23'!$A:$D),FALSE),0)</f>
        <v>-17725</v>
      </c>
      <c r="G38" s="94">
        <f>IFERROR(VLOOKUP($B38,'BS Q1-24'!$A:$J,COLUMNS('BS Q1-24'!$A:$D),FALSE),0)</f>
        <v>-17277</v>
      </c>
      <c r="H38" s="94">
        <f>IFERROR(VLOOKUP($B38,'BS Q2-24'!$A:$J,COLUMNS('BS Q2-24'!$A:$D),FALSE),0)</f>
        <v>-17340</v>
      </c>
      <c r="I38" s="94">
        <f>IFERROR(VLOOKUP($B38,'BS Q3-24'!$A:$J,COLUMNS('BS Q3-24'!$A:$D),FALSE),0)</f>
        <v>-17553</v>
      </c>
      <c r="J38" s="105"/>
      <c r="Y38" s="9"/>
    </row>
    <row r="39" spans="2:25" x14ac:dyDescent="0.25">
      <c r="B39" t="s">
        <v>209</v>
      </c>
      <c r="C39" s="94">
        <f>IFERROR(VLOOKUP($B39,'BS FY21'!$A:$F,COLUMNS('BS FY21'!$A:$F),FALSE),0)</f>
        <v>-103948</v>
      </c>
      <c r="D39" s="94">
        <f>IFERROR(VLOOKUP($B39,'BS FY21'!$A:$F,COLUMNS('BS FY21'!$A:$C),FALSE),0)</f>
        <v>-104384</v>
      </c>
      <c r="E39" s="94">
        <f>IFERROR(VLOOKUP($B39,'BS FY23'!$A:$J,COLUMNS('BS FY23'!$A:$J),FALSE),0)</f>
        <v>-106202</v>
      </c>
      <c r="F39" s="94">
        <f>IFERROR(VLOOKUP($B39,'BS FY23'!$A:$J,COLUMNS('BS FY23'!$A:$D),FALSE),0)</f>
        <v>-107677</v>
      </c>
      <c r="G39" s="94">
        <f>IFERROR(VLOOKUP($B39,'BS Q1-24'!$A:$J,COLUMNS('BS Q1-24'!$A:$D),FALSE),0)</f>
        <v>-115399</v>
      </c>
      <c r="H39" s="94">
        <f>IFERROR(VLOOKUP($B39,'BS Q2-24'!$A:$J,COLUMNS('BS Q2-24'!$A:$D),FALSE),0)</f>
        <v>-115488</v>
      </c>
      <c r="I39" s="94">
        <f>IFERROR(VLOOKUP($B39,'BS Q3-24'!$A:$J,COLUMNS('BS Q3-24'!$A:$D),FALSE),0)</f>
        <v>-114711</v>
      </c>
      <c r="J39" s="105"/>
      <c r="Y39" s="9"/>
    </row>
    <row r="40" spans="2:25" x14ac:dyDescent="0.25">
      <c r="B40" t="s">
        <v>82</v>
      </c>
      <c r="C40" s="94">
        <f>IFERROR(VLOOKUP($B40,'BS FY21'!$A:$F,COLUMNS('BS FY21'!$A:$F),FALSE),0)</f>
        <v>1314945</v>
      </c>
      <c r="D40" s="94">
        <f>IFERROR(VLOOKUP($B40,'BS FY21'!$A:$F,COLUMNS('BS FY21'!$A:$C),FALSE),0)</f>
        <v>1150871</v>
      </c>
      <c r="E40" s="94">
        <f>IFERROR(VLOOKUP($B40,'BS FY23'!$A:$J,COLUMNS('BS FY23'!$A:$J),FALSE),0)</f>
        <v>1350434</v>
      </c>
      <c r="F40" s="94">
        <f>IFERROR(VLOOKUP($B40,'BS FY23'!$A:$J,COLUMNS('BS FY23'!$A:$D),FALSE),0)</f>
        <v>1479164</v>
      </c>
      <c r="G40" s="94">
        <f>IFERROR(VLOOKUP($B40,'BS Q1-24'!$A:$J,COLUMNS('BS Q1-24'!$A:$D),FALSE),0)</f>
        <v>1385073</v>
      </c>
      <c r="H40" s="94">
        <f>IFERROR(VLOOKUP($B40,'BS Q2-24'!$A:$J,COLUMNS('BS Q2-24'!$A:$D),FALSE),0)</f>
        <v>1390509</v>
      </c>
      <c r="I40" s="94">
        <f>IFERROR(VLOOKUP($B40,'BS Q3-24'!$A:$J,COLUMNS('BS Q3-24'!$A:$D),FALSE),0)</f>
        <v>1401616</v>
      </c>
      <c r="J40" s="105"/>
      <c r="Y40" s="9"/>
    </row>
    <row r="41" spans="2:25" x14ac:dyDescent="0.25">
      <c r="B41" t="s">
        <v>83</v>
      </c>
      <c r="C41" s="94">
        <f>IFERROR(VLOOKUP($B41,'BS FY21'!$A:$F,COLUMNS('BS FY21'!$A:$F),FALSE),0)</f>
        <v>5628</v>
      </c>
      <c r="D41" s="94">
        <f>IFERROR(VLOOKUP($B41,'BS FY21'!$A:$F,COLUMNS('BS FY21'!$A:$C),FALSE),0)</f>
        <v>11001</v>
      </c>
      <c r="E41" s="94">
        <f>IFERROR(VLOOKUP($B41,'BS FY23'!$A:$J,COLUMNS('BS FY23'!$A:$J),FALSE),0)</f>
        <v>11849</v>
      </c>
      <c r="F41" s="94">
        <f>IFERROR(VLOOKUP($B41,'BS FY23'!$A:$J,COLUMNS('BS FY23'!$A:$D),FALSE),0)</f>
        <v>13418</v>
      </c>
      <c r="G41" s="94">
        <f>IFERROR(VLOOKUP($B41,'BS Q1-24'!$A:$J,COLUMNS('BS Q1-24'!$A:$D),FALSE),0)</f>
        <v>13152</v>
      </c>
      <c r="H41" s="94">
        <f>IFERROR(VLOOKUP($B41,'BS Q2-24'!$A:$J,COLUMNS('BS Q2-24'!$A:$D),FALSE),0)</f>
        <v>12990</v>
      </c>
      <c r="I41" s="94">
        <f>IFERROR(VLOOKUP($B41,'BS Q3-24'!$A:$J,COLUMNS('BS Q3-24'!$A:$D),FALSE),0)</f>
        <v>12593</v>
      </c>
      <c r="J41" s="105"/>
      <c r="Y41" s="9"/>
    </row>
    <row r="42" spans="2:25" s="4" customFormat="1" x14ac:dyDescent="0.25">
      <c r="B42" s="4" t="s">
        <v>171</v>
      </c>
      <c r="C42" s="97">
        <f>IFERROR(VLOOKUP($B42,'BS FY21'!$A:$F,COLUMNS('BS FY21'!$A:$F),FALSE),0)</f>
        <v>1320573</v>
      </c>
      <c r="D42" s="97">
        <f>IFERROR(VLOOKUP($B42,'BS FY21'!$A:$F,COLUMNS('BS FY21'!$A:$C),FALSE),0)</f>
        <v>1161872</v>
      </c>
      <c r="E42" s="97">
        <f>IFERROR(VLOOKUP($B42,'BS FY23'!$A:$J,COLUMNS('BS FY23'!$A:$J),FALSE),0)</f>
        <v>1362283</v>
      </c>
      <c r="F42" s="97">
        <f>IFERROR(VLOOKUP($B42,'BS FY23'!$A:$J,COLUMNS('BS FY23'!$A:$D),FALSE),0)</f>
        <v>1492582</v>
      </c>
      <c r="G42" s="97">
        <f>IFERROR(VLOOKUP($B42,'BS Q1-24'!$A:$J,COLUMNS('BS Q1-24'!$A:$D),FALSE),0)</f>
        <v>1398225</v>
      </c>
      <c r="H42" s="97">
        <f>IFERROR(VLOOKUP($B42,'BS Q2-24'!$A:$J,COLUMNS('BS Q2-24'!$A:$D),FALSE),0)</f>
        <v>1403499</v>
      </c>
      <c r="I42" s="97">
        <f>IFERROR(VLOOKUP($B42,'BS Q3-24'!$A:$J,COLUMNS('BS Q3-24'!$A:$D),FALSE),0)</f>
        <v>1414209</v>
      </c>
      <c r="J42" s="115"/>
      <c r="K42" s="113"/>
      <c r="L42" s="113"/>
      <c r="M42" s="113"/>
      <c r="N42" s="113"/>
      <c r="O42" s="113"/>
      <c r="P42" s="113"/>
      <c r="Q42" s="113"/>
      <c r="S42"/>
      <c r="T42"/>
      <c r="U42"/>
      <c r="V42"/>
      <c r="W42"/>
      <c r="X42"/>
      <c r="Y42" s="9"/>
    </row>
    <row r="43" spans="2:25" s="4" customFormat="1" x14ac:dyDescent="0.25">
      <c r="B43" s="4" t="s">
        <v>84</v>
      </c>
      <c r="C43" s="97">
        <f>IFERROR(VLOOKUP($B43,'BS FY21'!$A:$F,COLUMNS('BS FY21'!$A:$F),FALSE),0)</f>
        <v>2382430</v>
      </c>
      <c r="D43" s="97">
        <f>IFERROR(VLOOKUP($B43,'BS FY21'!$A:$F,COLUMNS('BS FY21'!$A:$C),FALSE),0)</f>
        <v>2462115</v>
      </c>
      <c r="E43" s="97">
        <f>IFERROR(VLOOKUP($B43,'BS FY23'!$A:$J,COLUMNS('BS FY23'!$A:$J),FALSE),0)</f>
        <v>2729414</v>
      </c>
      <c r="F43" s="97">
        <f>IFERROR(VLOOKUP($B43,'BS FY23'!$A:$J,COLUMNS('BS FY23'!$A:$D),FALSE),0)</f>
        <v>2544134</v>
      </c>
      <c r="G43" s="97">
        <f>IFERROR(VLOOKUP($B43,'BS Q1-24'!$A:$J,COLUMNS('BS Q1-24'!$A:$D),FALSE),0)</f>
        <v>2493724</v>
      </c>
      <c r="H43" s="97">
        <f>IFERROR(VLOOKUP($B43,'BS Q2-24'!$A:$J,COLUMNS('BS Q2-24'!$A:$D),FALSE),0)</f>
        <v>2501394</v>
      </c>
      <c r="I43" s="97">
        <f>IFERROR(VLOOKUP($B43,'BS Q3-24'!$A:$J,COLUMNS('BS Q3-24'!$A:$D),FALSE),0)</f>
        <v>2467794</v>
      </c>
      <c r="J43" s="115"/>
      <c r="K43" s="113"/>
      <c r="L43" s="113"/>
      <c r="M43" s="113"/>
      <c r="N43" s="113"/>
      <c r="O43" s="113"/>
      <c r="P43" s="113"/>
      <c r="Q43" s="113"/>
      <c r="S43"/>
      <c r="T43"/>
      <c r="U43"/>
      <c r="V43"/>
      <c r="W43"/>
      <c r="X43"/>
      <c r="Y43" s="9"/>
    </row>
    <row r="44" spans="2:25" x14ac:dyDescent="0.25">
      <c r="C44" s="118">
        <f>C43-C17</f>
        <v>0</v>
      </c>
      <c r="D44" s="118">
        <f t="shared" ref="D44:I44" si="8">D43-D17</f>
        <v>0</v>
      </c>
      <c r="E44" s="118">
        <f t="shared" si="8"/>
        <v>0</v>
      </c>
      <c r="F44" s="118">
        <f t="shared" si="8"/>
        <v>0</v>
      </c>
      <c r="G44" s="118">
        <f t="shared" si="8"/>
        <v>0</v>
      </c>
      <c r="H44" s="118">
        <f t="shared" si="8"/>
        <v>0</v>
      </c>
      <c r="I44" s="118">
        <f t="shared" si="8"/>
        <v>0</v>
      </c>
      <c r="J44" s="118"/>
      <c r="K44" s="118"/>
      <c r="L44" s="118"/>
      <c r="M44" s="118"/>
      <c r="N44" s="118"/>
      <c r="O44" s="118"/>
      <c r="P44" s="118"/>
      <c r="Q44" s="118"/>
    </row>
    <row r="45" spans="2:25" x14ac:dyDescent="0.25">
      <c r="C45" s="94">
        <f t="shared" ref="C45:I45" si="9">SUM(C7:C43)</f>
        <v>14873598</v>
      </c>
      <c r="D45" s="94">
        <f t="shared" si="9"/>
        <v>15337619</v>
      </c>
      <c r="E45" s="94">
        <f t="shared" si="9"/>
        <v>17267071</v>
      </c>
      <c r="F45" s="94">
        <f t="shared" si="9"/>
        <v>16166783</v>
      </c>
      <c r="G45" s="94">
        <f t="shared" si="9"/>
        <v>15752517</v>
      </c>
      <c r="H45" s="94">
        <f t="shared" si="9"/>
        <v>15792822</v>
      </c>
      <c r="I45" s="94">
        <f t="shared" si="9"/>
        <v>15536946</v>
      </c>
    </row>
    <row r="46" spans="2:25" x14ac:dyDescent="0.25">
      <c r="B46" s="119" t="s">
        <v>207</v>
      </c>
      <c r="C46" s="94">
        <f>'BS FY21'!F49</f>
        <v>14873598</v>
      </c>
      <c r="D46" s="94">
        <f>'BS FY21'!C49</f>
        <v>15337619</v>
      </c>
      <c r="E46" s="94">
        <f>'BS FY23'!J45</f>
        <v>17267071</v>
      </c>
      <c r="F46" s="94">
        <f>'BS FY23'!D45</f>
        <v>16166783</v>
      </c>
      <c r="G46" s="94">
        <f>'BS Q1-24'!D46</f>
        <v>15752517</v>
      </c>
      <c r="H46" s="94">
        <f>'BS Q2-24'!D46</f>
        <v>15792822</v>
      </c>
      <c r="I46" s="94">
        <f>'BS Q3-24'!D46</f>
        <v>15536946</v>
      </c>
    </row>
    <row r="47" spans="2:25" x14ac:dyDescent="0.25">
      <c r="C47" s="169">
        <f>C45-C46</f>
        <v>0</v>
      </c>
      <c r="D47" s="169">
        <f t="shared" ref="D47:I47" si="10">D45-D46</f>
        <v>0</v>
      </c>
      <c r="E47" s="169">
        <f t="shared" si="10"/>
        <v>0</v>
      </c>
      <c r="F47" s="169">
        <f t="shared" si="10"/>
        <v>0</v>
      </c>
      <c r="G47" s="169">
        <f t="shared" si="10"/>
        <v>0</v>
      </c>
      <c r="H47" s="169">
        <f t="shared" si="10"/>
        <v>0</v>
      </c>
      <c r="I47" s="169">
        <f t="shared" si="10"/>
        <v>0</v>
      </c>
    </row>
    <row r="49" spans="2:25" x14ac:dyDescent="0.25">
      <c r="B49"/>
      <c r="C49" s="9">
        <f>C11-C7-C24+C20</f>
        <v>826074</v>
      </c>
      <c r="D49" s="9">
        <f t="shared" ref="D49:H49" si="11">D11-D7-D24+D20</f>
        <v>914214</v>
      </c>
      <c r="E49" s="9">
        <f t="shared" si="11"/>
        <v>1099822</v>
      </c>
      <c r="F49" s="9">
        <f t="shared" si="11"/>
        <v>847960</v>
      </c>
      <c r="G49" s="9">
        <f t="shared" si="11"/>
        <v>861351</v>
      </c>
      <c r="H49" s="9">
        <f t="shared" si="11"/>
        <v>870085</v>
      </c>
      <c r="I49" s="9">
        <f>I11-I7-I24+I20</f>
        <v>809743</v>
      </c>
      <c r="J49" s="9">
        <f>J3*J2*4</f>
        <v>844251.1016862198</v>
      </c>
      <c r="K49" s="9">
        <f t="shared" ref="K49:Q49" si="12">K3*K2</f>
        <v>844251.1016862198</v>
      </c>
      <c r="L49" s="9">
        <f t="shared" si="12"/>
        <v>821882.36269072571</v>
      </c>
      <c r="M49" s="9">
        <f t="shared" si="12"/>
        <v>860346.45726465166</v>
      </c>
      <c r="N49" s="9">
        <f t="shared" si="12"/>
        <v>923643.38465099444</v>
      </c>
      <c r="O49" s="9">
        <f t="shared" si="12"/>
        <v>948048.40359838505</v>
      </c>
      <c r="P49" s="9">
        <f t="shared" si="12"/>
        <v>996255.36586116813</v>
      </c>
      <c r="Q49" s="9">
        <f t="shared" si="12"/>
        <v>1034987.197265303</v>
      </c>
      <c r="R49" s="9">
        <f>R3*R2</f>
        <v>1081893.1637603939</v>
      </c>
      <c r="Y49" s="9"/>
    </row>
    <row r="50" spans="2:25" x14ac:dyDescent="0.25">
      <c r="B50" s="119" t="s">
        <v>207</v>
      </c>
      <c r="C50" s="168">
        <f>C11-C24-C49-C7+C20</f>
        <v>0</v>
      </c>
      <c r="D50" s="168">
        <f t="shared" ref="D50:R50" si="13">D11-D24-D49-D7+D20</f>
        <v>0</v>
      </c>
      <c r="E50" s="168">
        <f t="shared" si="13"/>
        <v>0</v>
      </c>
      <c r="F50" s="168">
        <f t="shared" si="13"/>
        <v>0</v>
      </c>
      <c r="G50" s="168">
        <f t="shared" si="13"/>
        <v>0</v>
      </c>
      <c r="H50" s="168">
        <f t="shared" si="13"/>
        <v>0</v>
      </c>
      <c r="I50" s="168">
        <f t="shared" si="13"/>
        <v>0</v>
      </c>
      <c r="J50" s="168">
        <f>J11-J24-J49-J7+J20</f>
        <v>0</v>
      </c>
      <c r="K50" s="168">
        <f t="shared" si="13"/>
        <v>0</v>
      </c>
      <c r="L50" s="168">
        <f t="shared" si="13"/>
        <v>0</v>
      </c>
      <c r="M50" s="168">
        <f t="shared" si="13"/>
        <v>0</v>
      </c>
      <c r="N50" s="168">
        <f t="shared" si="13"/>
        <v>0</v>
      </c>
      <c r="O50" s="168">
        <f t="shared" si="13"/>
        <v>0</v>
      </c>
      <c r="P50" s="168">
        <f t="shared" si="13"/>
        <v>0</v>
      </c>
      <c r="Q50" s="168">
        <f t="shared" si="13"/>
        <v>0</v>
      </c>
      <c r="R50" s="168">
        <f t="shared" si="13"/>
        <v>3.4924596548080444E-10</v>
      </c>
    </row>
    <row r="51" spans="2:25" x14ac:dyDescent="0.25">
      <c r="B51"/>
      <c r="C51"/>
      <c r="D51"/>
      <c r="E51"/>
      <c r="F51"/>
      <c r="G51"/>
      <c r="H51"/>
      <c r="I51" s="9"/>
      <c r="J51"/>
    </row>
    <row r="52" spans="2:25" x14ac:dyDescent="0.25">
      <c r="B52"/>
      <c r="C52"/>
      <c r="D52"/>
      <c r="E52"/>
      <c r="F52"/>
      <c r="G52"/>
      <c r="H52"/>
      <c r="I52"/>
      <c r="J52"/>
    </row>
    <row r="53" spans="2:25" x14ac:dyDescent="0.25">
      <c r="B53"/>
      <c r="C53"/>
      <c r="D53"/>
      <c r="E53"/>
      <c r="F53"/>
      <c r="G53"/>
      <c r="H53"/>
      <c r="I53"/>
      <c r="J5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A520-142A-4D18-96E1-CA5BF24375A7}">
  <dimension ref="A1:AH53"/>
  <sheetViews>
    <sheetView showGridLines="0" workbookViewId="0"/>
  </sheetViews>
  <sheetFormatPr defaultRowHeight="15" x14ac:dyDescent="0.25"/>
  <cols>
    <col min="1" max="1" width="9.85546875" bestFit="1" customWidth="1"/>
    <col min="2" max="2" width="59.140625" style="17" customWidth="1"/>
    <col min="3" max="9" width="11.7109375" style="94" customWidth="1"/>
    <col min="10" max="16" width="11.7109375" style="112" customWidth="1"/>
    <col min="17" max="17" width="12.28515625" style="112" customWidth="1"/>
    <col min="18" max="18" width="14.28515625" bestFit="1" customWidth="1"/>
  </cols>
  <sheetData>
    <row r="1" spans="2:34" x14ac:dyDescent="0.25">
      <c r="C1" s="19"/>
      <c r="D1" s="19"/>
      <c r="E1" s="19"/>
      <c r="F1" s="19"/>
      <c r="G1" s="19"/>
      <c r="H1" s="19"/>
      <c r="I1" s="19"/>
      <c r="J1" s="7"/>
      <c r="K1" s="7"/>
      <c r="L1" s="7"/>
      <c r="M1" s="7"/>
      <c r="N1" s="7"/>
      <c r="O1" s="7"/>
      <c r="P1" s="7"/>
      <c r="Q1" s="7"/>
    </row>
    <row r="2" spans="2:34" x14ac:dyDescent="0.25">
      <c r="B2" s="165" t="s">
        <v>0</v>
      </c>
      <c r="C2" s="18"/>
      <c r="D2" s="18"/>
      <c r="E2" s="18"/>
      <c r="F2" s="18"/>
      <c r="G2" s="18"/>
      <c r="H2" s="18"/>
      <c r="I2" s="4"/>
      <c r="J2" s="166">
        <f>'3-Statement (Base)'!J9</f>
        <v>952178.74599999981</v>
      </c>
      <c r="K2" s="166">
        <f>'3-Statement (Base)'!K9</f>
        <v>3820845.7459999998</v>
      </c>
      <c r="L2" s="166">
        <f>'3-Statement (Base)'!L9</f>
        <v>3800977.3481207998</v>
      </c>
      <c r="M2" s="166">
        <f>'3-Statement (Base)'!M9</f>
        <v>3978863.0880128532</v>
      </c>
      <c r="N2" s="166">
        <f>'3-Statement (Base)'!N9</f>
        <v>4240672.2792040994</v>
      </c>
      <c r="O2" s="166">
        <f>'3-Statement (Base)'!O9</f>
        <v>4373829.3887711084</v>
      </c>
      <c r="P2" s="166">
        <f>'3-Statement (Base)'!P9</f>
        <v>4592520.858209664</v>
      </c>
      <c r="Q2" s="166">
        <f>'3-Statement (Base)'!Q9</f>
        <v>4765934.445815661</v>
      </c>
      <c r="R2" s="166">
        <f>'3-Statement (Base)'!R9</f>
        <v>4986845.0392481079</v>
      </c>
    </row>
    <row r="3" spans="2:34" s="20" customFormat="1" x14ac:dyDescent="0.25">
      <c r="B3" s="167" t="s">
        <v>356</v>
      </c>
      <c r="C3" s="8"/>
      <c r="D3" s="8"/>
      <c r="E3" s="8"/>
      <c r="F3" s="8"/>
      <c r="G3" s="8"/>
      <c r="H3" s="8"/>
      <c r="I3" s="8"/>
      <c r="J3" s="8">
        <f>'3-Statement (Downside)'!J24</f>
        <v>0.22166297694440976</v>
      </c>
      <c r="K3" s="8">
        <f>'3-Statement (Downside)'!K24</f>
        <v>0.22095922154671035</v>
      </c>
      <c r="L3" s="8">
        <f>'3-Statement (Downside)'!L24</f>
        <v>0.24022921880791098</v>
      </c>
      <c r="M3" s="8">
        <f>'3-Statement (Downside)'!M24</f>
        <v>0.23422921880791098</v>
      </c>
      <c r="N3" s="8">
        <f>'3-Statement (Downside)'!N24</f>
        <v>0.22380588638751078</v>
      </c>
      <c r="O3" s="8">
        <f>'3-Statement (Downside)'!O24</f>
        <v>0.2197547746677776</v>
      </c>
      <c r="P3" s="8">
        <f>'3-Statement (Downside)'!P24</f>
        <v>0.21692995995439979</v>
      </c>
      <c r="Q3" s="8">
        <f>'3-Statement (Downside)'!Q24</f>
        <v>0.21716354033656271</v>
      </c>
      <c r="R3" s="8">
        <f>'3-Statement (Downside)'!R24</f>
        <v>0.2169494249862467</v>
      </c>
      <c r="S3"/>
      <c r="T3"/>
      <c r="U3"/>
      <c r="V3"/>
      <c r="W3"/>
      <c r="X3"/>
    </row>
    <row r="4" spans="2:34" s="4" customFormat="1" ht="15.75" x14ac:dyDescent="0.25">
      <c r="B4" s="17"/>
      <c r="C4" s="111">
        <f>'3-Statement (Base)'!C2</f>
        <v>44196</v>
      </c>
      <c r="D4" s="111">
        <f>'3-Statement (Base)'!D2</f>
        <v>44561</v>
      </c>
      <c r="E4" s="111">
        <f>'3-Statement (Base)'!E2</f>
        <v>44926</v>
      </c>
      <c r="F4" s="111">
        <f>'3-Statement (Base)'!F2</f>
        <v>45291</v>
      </c>
      <c r="G4" s="111" t="str">
        <f>'3-Statement (Base)'!G2</f>
        <v>Q1-24</v>
      </c>
      <c r="H4" s="111" t="str">
        <f>'3-Statement (Base)'!H2</f>
        <v>Q2-24</v>
      </c>
      <c r="I4" s="111" t="str">
        <f>'3-Statement (Base)'!I2</f>
        <v>Q3-24</v>
      </c>
      <c r="J4" s="111" t="str">
        <f>'3-Statement (Base)'!J2</f>
        <v>Q4-24</v>
      </c>
      <c r="K4" s="111">
        <f>'3-Statement (Base)'!K2</f>
        <v>45657</v>
      </c>
      <c r="L4" s="111">
        <f>'3-Statement (Base)'!L2</f>
        <v>46022</v>
      </c>
      <c r="M4" s="111">
        <f>'3-Statement (Base)'!M2</f>
        <v>46387</v>
      </c>
      <c r="N4" s="111">
        <f>'3-Statement (Base)'!N2</f>
        <v>46752</v>
      </c>
      <c r="O4" s="111">
        <f>'3-Statement (Base)'!O2</f>
        <v>47118</v>
      </c>
      <c r="P4" s="111">
        <f>'3-Statement (Base)'!P2</f>
        <v>47483</v>
      </c>
      <c r="Q4" s="111">
        <f>'3-Statement (Base)'!Q2</f>
        <v>47848</v>
      </c>
      <c r="R4" s="111">
        <f>'3-Statement (Base)'!R2</f>
        <v>48213</v>
      </c>
      <c r="S4"/>
      <c r="T4"/>
      <c r="U4"/>
      <c r="V4"/>
      <c r="W4"/>
      <c r="X4"/>
      <c r="Z4" s="194"/>
      <c r="AA4" s="194"/>
      <c r="AB4" s="194"/>
      <c r="AC4" s="194"/>
      <c r="AD4" s="194"/>
      <c r="AE4" s="194"/>
      <c r="AF4" s="194"/>
      <c r="AG4" s="194"/>
      <c r="AH4" s="194"/>
    </row>
    <row r="5" spans="2:34" x14ac:dyDescent="0.25">
      <c r="B5" s="4" t="s">
        <v>52</v>
      </c>
    </row>
    <row r="6" spans="2:34" s="4" customFormat="1" x14ac:dyDescent="0.25">
      <c r="B6" s="4" t="s">
        <v>53</v>
      </c>
      <c r="C6" s="97"/>
      <c r="D6" s="97"/>
      <c r="E6" s="97"/>
      <c r="F6" s="97"/>
      <c r="G6" s="97"/>
      <c r="H6" s="97"/>
      <c r="I6" s="97"/>
      <c r="J6" s="113"/>
      <c r="K6" s="113"/>
      <c r="L6" s="113"/>
      <c r="M6" s="113"/>
      <c r="N6" s="113"/>
      <c r="O6" s="113"/>
      <c r="P6" s="113"/>
      <c r="Q6" s="113"/>
      <c r="S6"/>
      <c r="T6"/>
      <c r="U6"/>
      <c r="V6"/>
      <c r="W6"/>
      <c r="X6"/>
    </row>
    <row r="7" spans="2:34" x14ac:dyDescent="0.25">
      <c r="B7" t="s">
        <v>54</v>
      </c>
      <c r="C7" s="101">
        <f>IFERROR(VLOOKUP($B7,'BS FY21'!$A:$F,COLUMNS('BS FY21'!$A:$F),FALSE),0)</f>
        <v>125211</v>
      </c>
      <c r="D7" s="101">
        <f>IFERROR(VLOOKUP($B7,'BS FY21'!$A:$F,COLUMNS('BS FY21'!$A:$C),FALSE),0)</f>
        <v>40536</v>
      </c>
      <c r="E7" s="101">
        <f>IFERROR(VLOOKUP($B7,'BS FY23'!$A:$J,COLUMNS('BS FY23'!$A:$J),FALSE),0)</f>
        <v>43537</v>
      </c>
      <c r="F7" s="101">
        <f>IFERROR(VLOOKUP($B7,'BS FY23'!$A:$J,COLUMNS('BS FY23'!$A:$D),FALSE),0)</f>
        <v>50052</v>
      </c>
      <c r="G7" s="101">
        <f>IFERROR(VLOOKUP($B7,'BS Q1-24'!$A:$J,COLUMNS('BS Q1-24'!$A:$D),FALSE),0)</f>
        <v>25805</v>
      </c>
      <c r="H7" s="101">
        <f>IFERROR(VLOOKUP($B7,'BS Q2-24'!$A:$J,COLUMNS('BS Q2-24'!$A:$D),FALSE),0)</f>
        <v>22227</v>
      </c>
      <c r="I7" s="101">
        <f>IFERROR(VLOOKUP($B7,'BS Q3-24'!$A:$J,COLUMNS('BS Q3-24'!$A:$D),FALSE),0)</f>
        <v>25928</v>
      </c>
      <c r="J7" s="105">
        <f>'3-Statement (Downside)'!J73</f>
        <v>24999.999999999996</v>
      </c>
      <c r="K7" s="105">
        <f>'3-Statement (Downside)'!K73</f>
        <v>24999.999999999996</v>
      </c>
      <c r="L7" s="105">
        <f>'3-Statement (Downside)'!L73</f>
        <v>24999.999999999971</v>
      </c>
      <c r="M7" s="105">
        <f>'3-Statement (Downside)'!M73</f>
        <v>24999.999999999989</v>
      </c>
      <c r="N7" s="105">
        <f>'3-Statement (Downside)'!N73</f>
        <v>24999.999999999989</v>
      </c>
      <c r="O7" s="105">
        <f>'3-Statement (Downside)'!O73</f>
        <v>25000</v>
      </c>
      <c r="P7" s="105">
        <f>'3-Statement (Downside)'!P73</f>
        <v>24999.999999999956</v>
      </c>
      <c r="Q7" s="105">
        <f>'3-Statement (Downside)'!Q73</f>
        <v>24999.999999999978</v>
      </c>
      <c r="R7" s="105">
        <f>'3-Statement (Downside)'!R73</f>
        <v>24999.999999999938</v>
      </c>
      <c r="Y7" s="9"/>
    </row>
    <row r="8" spans="2:34" x14ac:dyDescent="0.25">
      <c r="B8" t="s">
        <v>120</v>
      </c>
      <c r="C8" s="94">
        <f>IFERROR(VLOOKUP($B8,'BS FY21'!$A:$F,COLUMNS('BS FY21'!$A:$F),FALSE),0)</f>
        <v>491743</v>
      </c>
      <c r="D8" s="94">
        <f>IFERROR(VLOOKUP($B8,'BS FY21'!$A:$F,COLUMNS('BS FY21'!$A:$C),FALSE),0)</f>
        <v>560373</v>
      </c>
      <c r="E8" s="101">
        <f>IFERROR(VLOOKUP($B8,'BS FY23'!$A:$J,COLUMNS('BS FY23'!$A:$J),FALSE),0)</f>
        <v>687608</v>
      </c>
      <c r="F8" s="94">
        <f>IFERROR(VLOOKUP($B8,'BS FY23'!$A:$J,COLUMNS('BS FY23'!$A:$D),FALSE),0)</f>
        <v>435421</v>
      </c>
      <c r="G8" s="94">
        <f>IFERROR(VLOOKUP($B8,'BS Q1-24'!$A:$J,COLUMNS('BS Q1-24'!$A:$D),FALSE),0)</f>
        <v>414280</v>
      </c>
      <c r="H8" s="94">
        <f>IFERROR(VLOOKUP($B8,'BS Q2-24'!$A:$J,COLUMNS('BS Q2-24'!$A:$D),FALSE),0)</f>
        <v>428699</v>
      </c>
      <c r="I8" s="94">
        <f>IFERROR(VLOOKUP($B8,'BS Q3-24'!$A:$J,COLUMNS('BS Q3-24'!$A:$D),FALSE),0)</f>
        <v>419810</v>
      </c>
      <c r="J8" s="105">
        <f>I8/I$49*J$49</f>
        <v>437700.67169323098</v>
      </c>
      <c r="K8" s="105">
        <f t="shared" ref="K8:R8" si="0">J8/J$49*K$49</f>
        <v>437700.67169323098</v>
      </c>
      <c r="L8" s="105">
        <f t="shared" si="0"/>
        <v>473398.29290718632</v>
      </c>
      <c r="M8" s="105">
        <f t="shared" si="0"/>
        <v>483176.32070655696</v>
      </c>
      <c r="N8" s="105">
        <f t="shared" si="0"/>
        <v>492052.89713838842</v>
      </c>
      <c r="O8" s="105">
        <f t="shared" si="0"/>
        <v>498317.03671626432</v>
      </c>
      <c r="P8" s="105">
        <f t="shared" si="0"/>
        <v>516507.04623834597</v>
      </c>
      <c r="Q8" s="105">
        <f t="shared" si="0"/>
        <v>536587.50404010515</v>
      </c>
      <c r="R8" s="105">
        <f t="shared" si="0"/>
        <v>560905.82947706978</v>
      </c>
      <c r="Y8" s="9"/>
    </row>
    <row r="9" spans="2:34" x14ac:dyDescent="0.25">
      <c r="B9" t="s">
        <v>55</v>
      </c>
      <c r="C9" s="94">
        <f>IFERROR(VLOOKUP($B9,'BS FY21'!$A:$F,COLUMNS('BS FY21'!$A:$F),FALSE),0)</f>
        <v>543106</v>
      </c>
      <c r="D9" s="94">
        <f>IFERROR(VLOOKUP($B9,'BS FY21'!$A:$F,COLUMNS('BS FY21'!$A:$C),FALSE),0)</f>
        <v>624169</v>
      </c>
      <c r="E9" s="101">
        <f>IFERROR(VLOOKUP($B9,'BS FY23'!$A:$J,COLUMNS('BS FY23'!$A:$J),FALSE),0)</f>
        <v>715625</v>
      </c>
      <c r="F9" s="94">
        <f>IFERROR(VLOOKUP($B9,'BS FY23'!$A:$J,COLUMNS('BS FY23'!$A:$D),FALSE),0)</f>
        <v>726521</v>
      </c>
      <c r="G9" s="94">
        <f>IFERROR(VLOOKUP($B9,'BS Q1-24'!$A:$J,COLUMNS('BS Q1-24'!$A:$D),FALSE),0)</f>
        <v>709362</v>
      </c>
      <c r="H9" s="94">
        <f>IFERROR(VLOOKUP($B9,'BS Q2-24'!$A:$J,COLUMNS('BS Q2-24'!$A:$D),FALSE),0)</f>
        <v>685373</v>
      </c>
      <c r="I9" s="94">
        <f>IFERROR(VLOOKUP($B9,'BS Q3-24'!$A:$J,COLUMNS('BS Q3-24'!$A:$D),FALSE),0)</f>
        <v>665638</v>
      </c>
      <c r="J9" s="105">
        <f t="shared" ref="J9:R10" si="1">I9/I$49*J$49</f>
        <v>694004.90627793258</v>
      </c>
      <c r="K9" s="105">
        <f t="shared" si="1"/>
        <v>694004.90627793258</v>
      </c>
      <c r="L9" s="105">
        <f t="shared" si="1"/>
        <v>750605.97149699542</v>
      </c>
      <c r="M9" s="105">
        <f t="shared" si="1"/>
        <v>766109.71573443024</v>
      </c>
      <c r="N9" s="105">
        <f t="shared" si="1"/>
        <v>780184.14603130601</v>
      </c>
      <c r="O9" s="105">
        <f t="shared" si="1"/>
        <v>790116.37570744078</v>
      </c>
      <c r="P9" s="105">
        <f t="shared" si="1"/>
        <v>818957.90296562761</v>
      </c>
      <c r="Q9" s="105">
        <f t="shared" si="1"/>
        <v>850796.86766453274</v>
      </c>
      <c r="R9" s="105">
        <f t="shared" si="1"/>
        <v>889355.26671936782</v>
      </c>
      <c r="Y9" s="9"/>
    </row>
    <row r="10" spans="2:34" x14ac:dyDescent="0.25">
      <c r="B10" t="s">
        <v>56</v>
      </c>
      <c r="C10" s="94">
        <f>IFERROR(VLOOKUP($B10,'BS FY21'!$A:$F,COLUMNS('BS FY21'!$A:$F),FALSE),0)</f>
        <v>77710</v>
      </c>
      <c r="D10" s="94">
        <f>IFERROR(VLOOKUP($B10,'BS FY21'!$A:$F,COLUMNS('BS FY21'!$A:$C),FALSE),0)</f>
        <v>89167</v>
      </c>
      <c r="E10" s="101">
        <f>IFERROR(VLOOKUP($B10,'BS FY23'!$A:$J,COLUMNS('BS FY23'!$A:$J),FALSE),0)</f>
        <v>96853</v>
      </c>
      <c r="F10" s="94">
        <f>IFERROR(VLOOKUP($B10,'BS FY23'!$A:$J,COLUMNS('BS FY23'!$A:$D),FALSE),0)</f>
        <v>105519</v>
      </c>
      <c r="G10" s="94">
        <f>IFERROR(VLOOKUP($B10,'BS Q1-24'!$A:$J,COLUMNS('BS Q1-24'!$A:$D),FALSE),0)</f>
        <v>121519</v>
      </c>
      <c r="H10" s="94">
        <f>IFERROR(VLOOKUP($B10,'BS Q2-24'!$A:$J,COLUMNS('BS Q2-24'!$A:$D),FALSE),0)</f>
        <v>128614</v>
      </c>
      <c r="I10" s="94">
        <f>IFERROR(VLOOKUP($B10,'BS Q3-24'!$A:$J,COLUMNS('BS Q3-24'!$A:$D),FALSE),0)</f>
        <v>101472</v>
      </c>
      <c r="J10" s="105">
        <f t="shared" si="1"/>
        <v>105796.34253127733</v>
      </c>
      <c r="K10" s="105">
        <f t="shared" si="1"/>
        <v>105796.34253127733</v>
      </c>
      <c r="L10" s="105">
        <f t="shared" si="1"/>
        <v>114424.79116237824</v>
      </c>
      <c r="M10" s="105">
        <f t="shared" si="1"/>
        <v>116788.23185425729</v>
      </c>
      <c r="N10" s="105">
        <f t="shared" si="1"/>
        <v>118933.7833268063</v>
      </c>
      <c r="O10" s="105">
        <f t="shared" si="1"/>
        <v>120447.88439930629</v>
      </c>
      <c r="P10" s="105">
        <f t="shared" si="1"/>
        <v>124844.57968104011</v>
      </c>
      <c r="Q10" s="105">
        <f t="shared" si="1"/>
        <v>129698.21397765072</v>
      </c>
      <c r="R10" s="105">
        <f t="shared" si="1"/>
        <v>135576.18048330728</v>
      </c>
      <c r="Y10" s="9"/>
    </row>
    <row r="11" spans="2:34" s="4" customFormat="1" x14ac:dyDescent="0.25">
      <c r="B11" s="4" t="s">
        <v>57</v>
      </c>
      <c r="C11" s="97">
        <f>IFERROR(VLOOKUP($B11,'BS FY21'!$A:$F,COLUMNS('BS FY21'!$A:$F),FALSE),0)</f>
        <v>1237770</v>
      </c>
      <c r="D11" s="97">
        <f>IFERROR(VLOOKUP($B11,'BS FY21'!$A:$F,COLUMNS('BS FY21'!$A:$C),FALSE),0)</f>
        <v>1314245</v>
      </c>
      <c r="E11" s="114">
        <f>IFERROR(VLOOKUP($B11,'BS FY23'!$A:$J,COLUMNS('BS FY23'!$A:$J),FALSE),0)</f>
        <v>1543623</v>
      </c>
      <c r="F11" s="97">
        <f>IFERROR(VLOOKUP($B11,'BS FY23'!$A:$J,COLUMNS('BS FY23'!$A:$D),FALSE),0)</f>
        <v>1317513</v>
      </c>
      <c r="G11" s="97">
        <f>IFERROR(VLOOKUP($B11,'BS Q1-24'!$A:$J,COLUMNS('BS Q1-24'!$A:$D),FALSE),0)</f>
        <v>1270966</v>
      </c>
      <c r="H11" s="97">
        <f>IFERROR(VLOOKUP($B11,'BS Q2-24'!$A:$J,COLUMNS('BS Q2-24'!$A:$D),FALSE),0)</f>
        <v>1264913</v>
      </c>
      <c r="I11" s="97">
        <f>IFERROR(VLOOKUP($B11,'BS Q3-24'!$A:$J,COLUMNS('BS Q3-24'!$A:$D),FALSE),0)</f>
        <v>1212848</v>
      </c>
      <c r="J11" s="115">
        <f>(I11-I7)/I49*J49+J7</f>
        <v>1262501.920502441</v>
      </c>
      <c r="K11" s="115">
        <f t="shared" ref="K11:R11" si="2">(J11-J7)/J49*K49+K7</f>
        <v>1262501.920502441</v>
      </c>
      <c r="L11" s="115">
        <f t="shared" si="2"/>
        <v>1363429.05556656</v>
      </c>
      <c r="M11" s="115">
        <f t="shared" si="2"/>
        <v>1391074.2682952445</v>
      </c>
      <c r="N11" s="115">
        <f t="shared" si="2"/>
        <v>1416170.8264965008</v>
      </c>
      <c r="O11" s="115">
        <f t="shared" si="2"/>
        <v>1433881.2968230115</v>
      </c>
      <c r="P11" s="115">
        <f t="shared" si="2"/>
        <v>1485309.5288850139</v>
      </c>
      <c r="Q11" s="115">
        <f t="shared" si="2"/>
        <v>1542082.5856822887</v>
      </c>
      <c r="R11" s="115">
        <f t="shared" si="2"/>
        <v>1610837.2766797449</v>
      </c>
      <c r="S11"/>
      <c r="T11"/>
      <c r="U11"/>
      <c r="V11"/>
      <c r="W11"/>
      <c r="X11"/>
      <c r="Y11" s="9"/>
    </row>
    <row r="12" spans="2:34" x14ac:dyDescent="0.25">
      <c r="B12" t="s">
        <v>58</v>
      </c>
      <c r="C12" s="94">
        <f>IFERROR(VLOOKUP($B12,'BS FY21'!$A:$F,COLUMNS('BS FY21'!$A:$F),FALSE),0)</f>
        <v>301979</v>
      </c>
      <c r="D12" s="94">
        <f>IFERROR(VLOOKUP($B12,'BS FY21'!$A:$F,COLUMNS('BS FY21'!$A:$C),FALSE),0)</f>
        <v>298416</v>
      </c>
      <c r="E12" s="101">
        <f>IFERROR(VLOOKUP($B12,'BS FY23'!$A:$J,COLUMNS('BS FY23'!$A:$J),FALSE),0)</f>
        <v>286666</v>
      </c>
      <c r="F12" s="94">
        <f>IFERROR(VLOOKUP($B12,'BS FY23'!$A:$J,COLUMNS('BS FY23'!$A:$D),FALSE),0)</f>
        <v>319660</v>
      </c>
      <c r="G12" s="94">
        <f>IFERROR(VLOOKUP($B12,'BS Q1-24'!$A:$J,COLUMNS('BS Q1-24'!$A:$D),FALSE),0)</f>
        <v>322091</v>
      </c>
      <c r="H12" s="94">
        <f>IFERROR(VLOOKUP($B12,'BS Q2-24'!$A:$J,COLUMNS('BS Q2-24'!$A:$D),FALSE),0)</f>
        <v>330765</v>
      </c>
      <c r="I12" s="94">
        <f>IFERROR(VLOOKUP($B12,'BS Q3-24'!$A:$J,COLUMNS('BS Q3-24'!$A:$D),FALSE),0)</f>
        <v>344787</v>
      </c>
      <c r="J12" s="105"/>
      <c r="K12" s="105"/>
      <c r="L12" s="105"/>
      <c r="M12" s="105"/>
      <c r="N12" s="105"/>
      <c r="O12" s="105"/>
      <c r="P12" s="105"/>
      <c r="Q12" s="105"/>
      <c r="R12" s="105"/>
      <c r="Y12" s="9"/>
    </row>
    <row r="13" spans="2:34" x14ac:dyDescent="0.25">
      <c r="B13" t="s">
        <v>59</v>
      </c>
      <c r="C13" s="94">
        <f>IFERROR(VLOOKUP($B13,'BS FY21'!$A:$F,COLUMNS('BS FY21'!$A:$F),FALSE),0)</f>
        <v>677579</v>
      </c>
      <c r="D13" s="94">
        <f>IFERROR(VLOOKUP($B13,'BS FY21'!$A:$F,COLUMNS('BS FY21'!$A:$C),FALSE),0)</f>
        <v>692704</v>
      </c>
      <c r="E13" s="101">
        <f>IFERROR(VLOOKUP($B13,'BS FY23'!$A:$J,COLUMNS('BS FY23'!$A:$J),FALSE),0)</f>
        <v>710130</v>
      </c>
      <c r="F13" s="94">
        <f>IFERROR(VLOOKUP($B13,'BS FY23'!$A:$J,COLUMNS('BS FY23'!$A:$D),FALSE),0)</f>
        <v>718174</v>
      </c>
      <c r="G13" s="94">
        <f>IFERROR(VLOOKUP($B13,'BS Q1-24'!$A:$J,COLUMNS('BS Q1-24'!$A:$D),FALSE),0)</f>
        <v>718318</v>
      </c>
      <c r="H13" s="94">
        <f>IFERROR(VLOOKUP($B13,'BS Q2-24'!$A:$J,COLUMNS('BS Q2-24'!$A:$D),FALSE),0)</f>
        <v>722101</v>
      </c>
      <c r="I13" s="94">
        <f>IFERROR(VLOOKUP($B13,'BS Q3-24'!$A:$J,COLUMNS('BS Q3-24'!$A:$D),FALSE),0)</f>
        <v>721932</v>
      </c>
      <c r="J13" s="105"/>
      <c r="K13" s="105"/>
      <c r="L13" s="105"/>
      <c r="M13" s="105"/>
      <c r="N13" s="105"/>
      <c r="O13" s="105"/>
      <c r="P13" s="105"/>
      <c r="Q13" s="105"/>
      <c r="R13" s="105"/>
      <c r="Y13" s="9"/>
    </row>
    <row r="14" spans="2:34" x14ac:dyDescent="0.25">
      <c r="B14" t="s">
        <v>60</v>
      </c>
      <c r="C14" s="94">
        <f>IFERROR(VLOOKUP($B14,'BS FY21'!$A:$F,COLUMNS('BS FY21'!$A:$F),FALSE),0)</f>
        <v>104873</v>
      </c>
      <c r="D14" s="94">
        <f>IFERROR(VLOOKUP($B14,'BS FY21'!$A:$F,COLUMNS('BS FY21'!$A:$C),FALSE),0)</f>
        <v>101854</v>
      </c>
      <c r="E14" s="101">
        <f>IFERROR(VLOOKUP($B14,'BS FY23'!$A:$J,COLUMNS('BS FY23'!$A:$J),FALSE),0)</f>
        <v>114328</v>
      </c>
      <c r="F14" s="94">
        <f>IFERROR(VLOOKUP($B14,'BS FY23'!$A:$J,COLUMNS('BS FY23'!$A:$D),FALSE),0)</f>
        <v>110641</v>
      </c>
      <c r="G14" s="94">
        <f>IFERROR(VLOOKUP($B14,'BS Q1-24'!$A:$J,COLUMNS('BS Q1-24'!$A:$D),FALSE),0)</f>
        <v>106890</v>
      </c>
      <c r="H14" s="94">
        <f>IFERROR(VLOOKUP($B14,'BS Q2-24'!$A:$J,COLUMNS('BS Q2-24'!$A:$D),FALSE),0)</f>
        <v>106833</v>
      </c>
      <c r="I14" s="94">
        <f>IFERROR(VLOOKUP($B14,'BS Q3-24'!$A:$J,COLUMNS('BS Q3-24'!$A:$D),FALSE),0)</f>
        <v>102854</v>
      </c>
      <c r="J14" s="105"/>
      <c r="K14" s="105"/>
      <c r="L14" s="105"/>
      <c r="M14" s="105"/>
      <c r="N14" s="105"/>
      <c r="O14" s="105"/>
      <c r="P14" s="105"/>
      <c r="Q14" s="105"/>
      <c r="R14" s="105"/>
      <c r="Y14" s="9"/>
    </row>
    <row r="15" spans="2:34" x14ac:dyDescent="0.25">
      <c r="B15" t="s">
        <v>61</v>
      </c>
      <c r="C15" s="101">
        <f>IFERROR(VLOOKUP($B15,'BS FY21'!$A:$F,COLUMNS('BS FY21'!$A:$F),FALSE),0)</f>
        <v>56173</v>
      </c>
      <c r="D15" s="94">
        <f>IFERROR(VLOOKUP($B15,'BS FY21'!$A:$F,COLUMNS('BS FY21'!$A:$C),FALSE),0)</f>
        <v>49011</v>
      </c>
      <c r="E15" s="101">
        <f>IFERROR(VLOOKUP($B15,'BS FY23'!$A:$J,COLUMNS('BS FY23'!$A:$J),FALSE),0)</f>
        <v>64780</v>
      </c>
      <c r="F15" s="94">
        <f>IFERROR(VLOOKUP($B15,'BS FY23'!$A:$J,COLUMNS('BS FY23'!$A:$D),FALSE),0)</f>
        <v>65909</v>
      </c>
      <c r="G15" s="94">
        <f>IFERROR(VLOOKUP($B15,'BS Q1-24'!$A:$J,COLUMNS('BS Q1-24'!$A:$D),FALSE),0)</f>
        <v>61076</v>
      </c>
      <c r="H15" s="94">
        <f>IFERROR(VLOOKUP($B15,'BS Q2-24'!$A:$J,COLUMNS('BS Q2-24'!$A:$D),FALSE),0)</f>
        <v>61943</v>
      </c>
      <c r="I15" s="94">
        <f>IFERROR(VLOOKUP($B15,'BS Q3-24'!$A:$J,COLUMNS('BS Q3-24'!$A:$D),FALSE),0)</f>
        <v>60878</v>
      </c>
      <c r="J15" s="105"/>
      <c r="K15" s="105"/>
      <c r="L15" s="105"/>
      <c r="M15" s="105"/>
      <c r="N15" s="105"/>
      <c r="O15" s="105"/>
      <c r="P15" s="105"/>
      <c r="Q15" s="105"/>
      <c r="R15" s="105"/>
      <c r="Y15" s="9"/>
    </row>
    <row r="16" spans="2:34" x14ac:dyDescent="0.25">
      <c r="B16" t="s">
        <v>62</v>
      </c>
      <c r="C16" s="101">
        <f>IFERROR(VLOOKUP($B16,'BS FY21'!$A:$F,COLUMNS('BS FY21'!$A:$F),FALSE),0)</f>
        <v>4056</v>
      </c>
      <c r="D16" s="94">
        <f>IFERROR(VLOOKUP($B16,'BS FY21'!$A:$F,COLUMNS('BS FY21'!$A:$C),FALSE),0)</f>
        <v>5885</v>
      </c>
      <c r="E16" s="101">
        <f>IFERROR(VLOOKUP($B16,'BS FY23'!$A:$J,COLUMNS('BS FY23'!$A:$J),FALSE),0)</f>
        <v>9887</v>
      </c>
      <c r="F16" s="94">
        <f>IFERROR(VLOOKUP($B16,'BS FY23'!$A:$J,COLUMNS('BS FY23'!$A:$D),FALSE),0)</f>
        <v>12237</v>
      </c>
      <c r="G16" s="94">
        <f>IFERROR(VLOOKUP($B16,'BS Q1-24'!$A:$J,COLUMNS('BS Q1-24'!$A:$D),FALSE),0)</f>
        <v>14383</v>
      </c>
      <c r="H16" s="94">
        <f>IFERROR(VLOOKUP($B16,'BS Q2-24'!$A:$J,COLUMNS('BS Q2-24'!$A:$D),FALSE),0)</f>
        <v>14839</v>
      </c>
      <c r="I16" s="94">
        <f>IFERROR(VLOOKUP($B16,'BS Q3-24'!$A:$J,COLUMNS('BS Q3-24'!$A:$D),FALSE),0)</f>
        <v>24495</v>
      </c>
      <c r="J16" s="105"/>
      <c r="K16" s="105"/>
      <c r="L16" s="105"/>
      <c r="M16" s="105"/>
      <c r="N16" s="105"/>
      <c r="O16" s="105"/>
      <c r="P16" s="105"/>
      <c r="Q16" s="105"/>
      <c r="R16" s="105"/>
      <c r="Y16" s="9"/>
    </row>
    <row r="17" spans="1:25" s="4" customFormat="1" x14ac:dyDescent="0.25">
      <c r="B17" s="4" t="s">
        <v>63</v>
      </c>
      <c r="C17" s="114">
        <f>IFERROR(VLOOKUP($B17,'BS FY21'!$A:$F,COLUMNS('BS FY21'!$A:$F),FALSE),0)</f>
        <v>2382430</v>
      </c>
      <c r="D17" s="97">
        <f>IFERROR(VLOOKUP($B17,'BS FY21'!$A:$F,COLUMNS('BS FY21'!$A:$C),FALSE),0)</f>
        <v>2462115</v>
      </c>
      <c r="E17" s="114">
        <f>IFERROR(VLOOKUP($B17,'BS FY23'!$A:$J,COLUMNS('BS FY23'!$A:$J),FALSE),0)</f>
        <v>2729414</v>
      </c>
      <c r="F17" s="97">
        <f>IFERROR(VLOOKUP($B17,'BS FY23'!$A:$J,COLUMNS('BS FY23'!$A:$D),FALSE),0)</f>
        <v>2544134</v>
      </c>
      <c r="G17" s="97">
        <f>IFERROR(VLOOKUP($B17,'BS Q1-24'!$A:$J,COLUMNS('BS Q1-24'!$A:$D),FALSE),0)</f>
        <v>2493724</v>
      </c>
      <c r="H17" s="97">
        <f>IFERROR(VLOOKUP($B17,'BS Q2-24'!$A:$J,COLUMNS('BS Q2-24'!$A:$D),FALSE),0)</f>
        <v>2501394</v>
      </c>
      <c r="I17" s="97">
        <f>IFERROR(VLOOKUP($B17,'BS Q3-24'!$A:$J,COLUMNS('BS Q3-24'!$A:$D),FALSE),0)</f>
        <v>2467794</v>
      </c>
      <c r="J17" s="115"/>
      <c r="K17" s="115"/>
      <c r="L17" s="115"/>
      <c r="M17" s="115"/>
      <c r="N17" s="115"/>
      <c r="O17" s="115"/>
      <c r="P17" s="115"/>
      <c r="Q17" s="115"/>
      <c r="R17" s="115"/>
      <c r="S17"/>
      <c r="T17"/>
      <c r="U17"/>
      <c r="V17"/>
      <c r="W17"/>
      <c r="X17"/>
      <c r="Y17" s="9"/>
    </row>
    <row r="18" spans="1:25" s="4" customFormat="1" x14ac:dyDescent="0.25">
      <c r="B18" s="4" t="s">
        <v>64</v>
      </c>
      <c r="C18" s="116">
        <f>IFERROR(VLOOKUP($B18,'BS FY21'!$A:$F,COLUMNS('BS FY21'!$A:$F),FALSE),0)</f>
        <v>0</v>
      </c>
      <c r="D18" s="86">
        <f>IFERROR(VLOOKUP($B18,'BS FY21'!$A:$F,COLUMNS('BS FY21'!$A:$C),FALSE),0)</f>
        <v>0</v>
      </c>
      <c r="E18" s="86">
        <f>IFERROR(VLOOKUP($B18,'BS FY23'!$A:$J,COLUMNS('BS FY23'!$A:$J),FALSE),0)</f>
        <v>0</v>
      </c>
      <c r="F18" s="86">
        <f>IFERROR(VLOOKUP($B18,'BS FY23'!$A:$J,COLUMNS('BS FY23'!$A:$D),FALSE),0)</f>
        <v>0</v>
      </c>
      <c r="G18" s="86">
        <f>IFERROR(VLOOKUP($B18,'BS Q1-24'!$A:$J,COLUMNS('BS Q1-24'!$A:$D),FALSE),0)</f>
        <v>0</v>
      </c>
      <c r="H18" s="86">
        <f>IFERROR(VLOOKUP($B18,'BS Q2-24'!$A:$J,COLUMNS('BS Q2-24'!$A:$D),FALSE),0)</f>
        <v>0</v>
      </c>
      <c r="I18" s="86">
        <f>IFERROR(VLOOKUP($B18,'BS Q3-24'!$A:$J,COLUMNS('BS Q3-24'!$A:$D),FALSE),0)</f>
        <v>0</v>
      </c>
      <c r="J18" s="86"/>
      <c r="K18" s="86"/>
      <c r="L18" s="86"/>
      <c r="M18" s="86"/>
      <c r="N18" s="86"/>
      <c r="O18" s="86"/>
      <c r="P18" s="86"/>
      <c r="Q18" s="86"/>
      <c r="R18" s="86"/>
      <c r="S18"/>
      <c r="T18"/>
      <c r="U18"/>
      <c r="V18"/>
      <c r="W18"/>
      <c r="X18"/>
      <c r="Y18" s="9"/>
    </row>
    <row r="19" spans="1:25" s="4" customFormat="1" x14ac:dyDescent="0.25">
      <c r="B19" s="4" t="s">
        <v>65</v>
      </c>
      <c r="C19" s="116">
        <f>IFERROR(VLOOKUP($B19,'BS FY21'!$A:$F,COLUMNS('BS FY21'!$A:$F),FALSE),0)</f>
        <v>0</v>
      </c>
      <c r="D19" s="86">
        <f>IFERROR(VLOOKUP($B19,'BS FY21'!$A:$F,COLUMNS('BS FY21'!$A:$C),FALSE),0)</f>
        <v>0</v>
      </c>
      <c r="E19" s="86">
        <f>IFERROR(VLOOKUP($B19,'BS FY23'!$A:$J,COLUMNS('BS FY23'!$A:$J),FALSE),0)</f>
        <v>0</v>
      </c>
      <c r="F19" s="86">
        <f>IFERROR(VLOOKUP($B19,'BS FY23'!$A:$J,COLUMNS('BS FY23'!$A:$D),FALSE),0)</f>
        <v>0</v>
      </c>
      <c r="G19" s="86">
        <f>IFERROR(VLOOKUP($B19,'BS Q1-24'!$A:$J,COLUMNS('BS Q1-24'!$A:$D),FALSE),0)</f>
        <v>0</v>
      </c>
      <c r="H19" s="86">
        <f>IFERROR(VLOOKUP($B19,'BS Q2-24'!$A:$J,COLUMNS('BS Q2-24'!$A:$D),FALSE),0)</f>
        <v>0</v>
      </c>
      <c r="I19" s="86">
        <f>IFERROR(VLOOKUP($B19,'BS Q3-24'!$A:$J,COLUMNS('BS Q3-24'!$A:$D),FALSE),0)</f>
        <v>0</v>
      </c>
      <c r="J19" s="86"/>
      <c r="K19" s="86"/>
      <c r="L19" s="86"/>
      <c r="M19" s="86"/>
      <c r="N19" s="86"/>
      <c r="O19" s="86"/>
      <c r="P19" s="86"/>
      <c r="Q19" s="86"/>
      <c r="R19" s="86"/>
      <c r="S19"/>
      <c r="T19"/>
      <c r="U19"/>
      <c r="V19"/>
      <c r="W19"/>
      <c r="X19"/>
      <c r="Y19" s="9"/>
    </row>
    <row r="20" spans="1:25" x14ac:dyDescent="0.25">
      <c r="A20" t="s">
        <v>224</v>
      </c>
      <c r="B20" t="s">
        <v>66</v>
      </c>
      <c r="C20" s="101">
        <f>IFERROR(VLOOKUP($B20,'BS FY21'!$A:$F,COLUMNS('BS FY21'!$A:$F),FALSE),0)</f>
        <v>122248</v>
      </c>
      <c r="D20" s="94">
        <f>IFERROR(VLOOKUP($B20,'BS FY21'!$A:$F,COLUMNS('BS FY21'!$A:$C),FALSE),0)</f>
        <v>202433</v>
      </c>
      <c r="E20" s="94">
        <f>IFERROR(VLOOKUP($B20,'BS FY23'!$A:$J,COLUMNS('BS FY23'!$A:$J),FALSE),0)</f>
        <v>325680</v>
      </c>
      <c r="F20" s="94">
        <f>IFERROR(VLOOKUP($B20,'BS FY23'!$A:$J,COLUMNS('BS FY23'!$A:$D),FALSE),0)</f>
        <v>229935</v>
      </c>
      <c r="G20" s="94">
        <f>IFERROR(VLOOKUP($B20,'BS Q1-24'!$A:$J,COLUMNS('BS Q1-24'!$A:$D),FALSE),0)</f>
        <v>244048</v>
      </c>
      <c r="H20" s="94">
        <f>IFERROR(VLOOKUP($B20,'BS Q2-24'!$A:$J,COLUMNS('BS Q2-24'!$A:$D),FALSE),0)</f>
        <v>257829</v>
      </c>
      <c r="I20" s="94">
        <f>IFERROR(VLOOKUP($B20,'BS Q3-24'!$A:$J,COLUMNS('BS Q3-24'!$A:$D),FALSE),0)</f>
        <v>206335</v>
      </c>
      <c r="J20" s="105">
        <f>'3-Statement (Downside)'!J82</f>
        <v>206335</v>
      </c>
      <c r="K20" s="105">
        <f>'3-Statement (Downside)'!K82</f>
        <v>206335</v>
      </c>
      <c r="L20" s="105">
        <f>'3-Statement (Downside)'!L82</f>
        <v>206335</v>
      </c>
      <c r="M20" s="105">
        <f>'3-Statement (Downside)'!M82</f>
        <v>206335</v>
      </c>
      <c r="N20" s="105">
        <f>'3-Statement (Downside)'!N82</f>
        <v>206335</v>
      </c>
      <c r="O20" s="105">
        <f>'3-Statement (Downside)'!O82</f>
        <v>206335</v>
      </c>
      <c r="P20" s="105">
        <f>'3-Statement (Downside)'!P82</f>
        <v>206335</v>
      </c>
      <c r="Q20" s="105">
        <f>'3-Statement (Downside)'!Q82</f>
        <v>206335</v>
      </c>
      <c r="R20" s="105">
        <f>'3-Statement (Downside)'!R82</f>
        <v>206335</v>
      </c>
      <c r="Y20" s="9"/>
    </row>
    <row r="21" spans="1:25" x14ac:dyDescent="0.25">
      <c r="B21" t="s">
        <v>67</v>
      </c>
      <c r="C21" s="94">
        <f>IFERROR(VLOOKUP($B21,'BS FY21'!$A:$F,COLUMNS('BS FY21'!$A:$F),FALSE),0)</f>
        <v>21815</v>
      </c>
      <c r="D21" s="94">
        <f>IFERROR(VLOOKUP($B21,'BS FY21'!$A:$F,COLUMNS('BS FY21'!$A:$C),FALSE),0)</f>
        <v>13927</v>
      </c>
      <c r="E21" s="94">
        <f>IFERROR(VLOOKUP($B21,'BS FY23'!$A:$J,COLUMNS('BS FY23'!$A:$J),FALSE),0)</f>
        <v>18560</v>
      </c>
      <c r="F21" s="94">
        <f>IFERROR(VLOOKUP($B21,'BS FY23'!$A:$J,COLUMNS('BS FY23'!$A:$D),FALSE),0)</f>
        <v>21168</v>
      </c>
      <c r="G21" s="94">
        <f>IFERROR(VLOOKUP($B21,'BS Q1-24'!$A:$J,COLUMNS('BS Q1-24'!$A:$D),FALSE),0)</f>
        <v>20694</v>
      </c>
      <c r="H21" s="94">
        <f>IFERROR(VLOOKUP($B21,'BS Q2-24'!$A:$J,COLUMNS('BS Q2-24'!$A:$D),FALSE),0)</f>
        <v>21686</v>
      </c>
      <c r="I21" s="94">
        <f>IFERROR(VLOOKUP($B21,'BS Q3-24'!$A:$J,COLUMNS('BS Q3-24'!$A:$D),FALSE),0)</f>
        <v>22235</v>
      </c>
      <c r="J21" s="105">
        <f>I21/I$49*J$49</f>
        <v>23182.56934112811</v>
      </c>
      <c r="K21" s="105">
        <f t="shared" ref="K21:R21" si="3">J21/J$49*K$49</f>
        <v>23182.56934112811</v>
      </c>
      <c r="L21" s="105">
        <f t="shared" si="3"/>
        <v>25073.273725712319</v>
      </c>
      <c r="M21" s="105">
        <f t="shared" si="3"/>
        <v>25591.161456159443</v>
      </c>
      <c r="N21" s="105">
        <f t="shared" si="3"/>
        <v>26061.30432307965</v>
      </c>
      <c r="O21" s="105">
        <f t="shared" si="3"/>
        <v>26393.080944680067</v>
      </c>
      <c r="P21" s="105">
        <f t="shared" si="3"/>
        <v>27356.504545174303</v>
      </c>
      <c r="Q21" s="105">
        <f t="shared" si="3"/>
        <v>28420.054673141989</v>
      </c>
      <c r="R21" s="105">
        <f t="shared" si="3"/>
        <v>29708.061071491025</v>
      </c>
      <c r="Y21" s="9"/>
    </row>
    <row r="22" spans="1:25" x14ac:dyDescent="0.25">
      <c r="B22" t="s">
        <v>68</v>
      </c>
      <c r="C22" s="94">
        <f>IFERROR(VLOOKUP($B22,'BS FY21'!$A:$F,COLUMNS('BS FY21'!$A:$F),FALSE),0)</f>
        <v>125775</v>
      </c>
      <c r="D22" s="94">
        <f>IFERROR(VLOOKUP($B22,'BS FY21'!$A:$F,COLUMNS('BS FY21'!$A:$C),FALSE),0)</f>
        <v>186330</v>
      </c>
      <c r="E22" s="94">
        <f>IFERROR(VLOOKUP($B22,'BS FY23'!$A:$J,COLUMNS('BS FY23'!$A:$J),FALSE),0)</f>
        <v>217378</v>
      </c>
      <c r="F22" s="94">
        <f>IFERROR(VLOOKUP($B22,'BS FY23'!$A:$J,COLUMNS('BS FY23'!$A:$D),FALSE),0)</f>
        <v>226299</v>
      </c>
      <c r="G22" s="94">
        <f>IFERROR(VLOOKUP($B22,'BS Q1-24'!$A:$J,COLUMNS('BS Q1-24'!$A:$D),FALSE),0)</f>
        <v>188976</v>
      </c>
      <c r="H22" s="94">
        <f>IFERROR(VLOOKUP($B22,'BS Q2-24'!$A:$J,COLUMNS('BS Q2-24'!$A:$D),FALSE),0)</f>
        <v>208111</v>
      </c>
      <c r="I22" s="94">
        <f>IFERROR(VLOOKUP($B22,'BS Q3-24'!$A:$J,COLUMNS('BS Q3-24'!$A:$D),FALSE),0)</f>
        <v>205644</v>
      </c>
      <c r="J22" s="105">
        <f t="shared" ref="J22:R23" si="4">I22/I$49*J$49</f>
        <v>214407.7485759815</v>
      </c>
      <c r="K22" s="105">
        <f t="shared" si="4"/>
        <v>214407.7485759815</v>
      </c>
      <c r="L22" s="105">
        <f t="shared" si="4"/>
        <v>231894.23440748296</v>
      </c>
      <c r="M22" s="105">
        <f t="shared" si="4"/>
        <v>236684.00299035085</v>
      </c>
      <c r="N22" s="105">
        <f t="shared" si="4"/>
        <v>241032.19546729888</v>
      </c>
      <c r="O22" s="105">
        <f t="shared" si="4"/>
        <v>244100.68530639922</v>
      </c>
      <c r="P22" s="105">
        <f t="shared" si="4"/>
        <v>253011.06456882501</v>
      </c>
      <c r="Q22" s="105">
        <f t="shared" si="4"/>
        <v>262847.48024302273</v>
      </c>
      <c r="R22" s="105">
        <f t="shared" si="4"/>
        <v>274759.81610009895</v>
      </c>
      <c r="Y22" s="9"/>
    </row>
    <row r="23" spans="1:25" x14ac:dyDescent="0.25">
      <c r="B23" t="s">
        <v>69</v>
      </c>
      <c r="C23" s="94">
        <f>IFERROR(VLOOKUP($B23,'BS FY21'!$A:$F,COLUMNS('BS FY21'!$A:$F),FALSE),0)</f>
        <v>138895</v>
      </c>
      <c r="D23" s="94">
        <f>IFERROR(VLOOKUP($B23,'BS FY21'!$A:$F,COLUMNS('BS FY21'!$A:$C),FALSE),0)</f>
        <v>159238</v>
      </c>
      <c r="E23" s="94">
        <f>IFERROR(VLOOKUP($B23,'BS FY23'!$A:$J,COLUMNS('BS FY23'!$A:$J),FALSE),0)</f>
        <v>164326</v>
      </c>
      <c r="F23" s="94">
        <f>IFERROR(VLOOKUP($B23,'BS FY23'!$A:$J,COLUMNS('BS FY23'!$A:$D),FALSE),0)</f>
        <v>172034</v>
      </c>
      <c r="G23" s="94">
        <f>IFERROR(VLOOKUP($B23,'BS Q1-24'!$A:$J,COLUMNS('BS Q1-24'!$A:$D),FALSE),0)</f>
        <v>174140</v>
      </c>
      <c r="H23" s="94">
        <f>IFERROR(VLOOKUP($B23,'BS Q2-24'!$A:$J,COLUMNS('BS Q2-24'!$A:$D),FALSE),0)</f>
        <v>142804</v>
      </c>
      <c r="I23" s="94">
        <f>IFERROR(VLOOKUP($B23,'BS Q3-24'!$A:$J,COLUMNS('BS Q3-24'!$A:$D),FALSE),0)</f>
        <v>149298</v>
      </c>
      <c r="J23" s="105">
        <f t="shared" si="4"/>
        <v>155660.5008991115</v>
      </c>
      <c r="K23" s="105">
        <f t="shared" si="4"/>
        <v>155660.5008991115</v>
      </c>
      <c r="L23" s="105">
        <f t="shared" si="4"/>
        <v>168355.72838773995</v>
      </c>
      <c r="M23" s="105">
        <f t="shared" si="4"/>
        <v>171833.11099985123</v>
      </c>
      <c r="N23" s="105">
        <f t="shared" si="4"/>
        <v>174989.90837990309</v>
      </c>
      <c r="O23" s="105">
        <f t="shared" si="4"/>
        <v>177217.63880723383</v>
      </c>
      <c r="P23" s="105">
        <f t="shared" si="4"/>
        <v>183686.59390984633</v>
      </c>
      <c r="Q23" s="105">
        <f t="shared" si="4"/>
        <v>190827.8535008209</v>
      </c>
      <c r="R23" s="105">
        <f t="shared" si="4"/>
        <v>199476.23574776106</v>
      </c>
      <c r="Y23" s="9"/>
    </row>
    <row r="24" spans="1:25" x14ac:dyDescent="0.25">
      <c r="B24" s="4" t="s">
        <v>70</v>
      </c>
      <c r="C24" s="97">
        <f>IFERROR(VLOOKUP($B24,'BS FY21'!$A:$F,COLUMNS('BS FY21'!$A:$F),FALSE),0)</f>
        <v>408733</v>
      </c>
      <c r="D24" s="97">
        <f>IFERROR(VLOOKUP($B24,'BS FY21'!$A:$F,COLUMNS('BS FY21'!$A:$C),FALSE),0)</f>
        <v>561928</v>
      </c>
      <c r="E24" s="97">
        <f>IFERROR(VLOOKUP($B24,'BS FY23'!$A:$J,COLUMNS('BS FY23'!$A:$J),FALSE),0)</f>
        <v>725944</v>
      </c>
      <c r="F24" s="97">
        <f>IFERROR(VLOOKUP($B24,'BS FY23'!$A:$J,COLUMNS('BS FY23'!$A:$D),FALSE),0)</f>
        <v>649436</v>
      </c>
      <c r="G24" s="97">
        <f>IFERROR(VLOOKUP($B24,'BS Q1-24'!$A:$J,COLUMNS('BS Q1-24'!$A:$D),FALSE),0)</f>
        <v>627858</v>
      </c>
      <c r="H24" s="97">
        <f>IFERROR(VLOOKUP($B24,'BS Q2-24'!$A:$J,COLUMNS('BS Q2-24'!$A:$D),FALSE),0)</f>
        <v>630430</v>
      </c>
      <c r="I24" s="97">
        <f>IFERROR(VLOOKUP($B24,'BS Q3-24'!$A:$J,COLUMNS('BS Q3-24'!$A:$D),FALSE),0)</f>
        <v>583512</v>
      </c>
      <c r="J24" s="115">
        <f>(I24-I20)/I49*J49+J20</f>
        <v>599585.81881622109</v>
      </c>
      <c r="K24" s="115">
        <f t="shared" ref="K24:R24" si="5">(J24-J20)/J49*K49+K20</f>
        <v>599585.81881622109</v>
      </c>
      <c r="L24" s="115">
        <f t="shared" si="5"/>
        <v>631658.2365209352</v>
      </c>
      <c r="M24" s="115">
        <f t="shared" si="5"/>
        <v>640443.27544636151</v>
      </c>
      <c r="N24" s="115">
        <f t="shared" si="5"/>
        <v>648418.40817028168</v>
      </c>
      <c r="O24" s="115">
        <f t="shared" si="5"/>
        <v>654046.40505831316</v>
      </c>
      <c r="P24" s="115">
        <f t="shared" si="5"/>
        <v>670389.16302384564</v>
      </c>
      <c r="Q24" s="115">
        <f t="shared" si="5"/>
        <v>688430.38841698575</v>
      </c>
      <c r="R24" s="115">
        <f t="shared" si="5"/>
        <v>710279.11291935109</v>
      </c>
      <c r="Y24" s="9"/>
    </row>
    <row r="25" spans="1:25" x14ac:dyDescent="0.25">
      <c r="A25" t="s">
        <v>224</v>
      </c>
      <c r="B25" t="s">
        <v>71</v>
      </c>
      <c r="C25" s="94">
        <f>IFERROR(VLOOKUP($B25,'BS FY21'!$A:$F,COLUMNS('BS FY21'!$A:$F),FALSE),0)</f>
        <v>497018</v>
      </c>
      <c r="D25" s="94">
        <f>IFERROR(VLOOKUP($B25,'BS FY21'!$A:$F,COLUMNS('BS FY21'!$A:$C),FALSE),0)</f>
        <v>583616</v>
      </c>
      <c r="E25" s="94">
        <f>IFERROR(VLOOKUP($B25,'BS FY23'!$A:$J,COLUMNS('BS FY23'!$A:$J),FALSE),0)</f>
        <v>468912</v>
      </c>
      <c r="F25" s="94">
        <f>IFERROR(VLOOKUP($B25,'BS FY23'!$A:$J,COLUMNS('BS FY23'!$A:$D),FALSE),0)</f>
        <v>224391</v>
      </c>
      <c r="G25" s="94">
        <f>IFERROR(VLOOKUP($B25,'BS Q1-24'!$A:$J,COLUMNS('BS Q1-24'!$A:$D),FALSE),0)</f>
        <v>294430</v>
      </c>
      <c r="H25" s="94">
        <f>IFERROR(VLOOKUP($B25,'BS Q2-24'!$A:$J,COLUMNS('BS Q2-24'!$A:$D),FALSE),0)</f>
        <v>294474</v>
      </c>
      <c r="I25" s="94">
        <f>IFERROR(VLOOKUP($B25,'BS Q3-24'!$A:$J,COLUMNS('BS Q3-24'!$A:$D),FALSE),0)</f>
        <v>299812</v>
      </c>
      <c r="J25" s="105"/>
      <c r="K25" s="105"/>
      <c r="L25" s="105"/>
      <c r="M25" s="105"/>
      <c r="N25" s="105"/>
      <c r="O25" s="105"/>
      <c r="P25" s="105"/>
      <c r="Q25" s="105"/>
      <c r="R25" s="105"/>
      <c r="Y25" s="9"/>
    </row>
    <row r="26" spans="1:25" x14ac:dyDescent="0.25">
      <c r="B26" t="s">
        <v>72</v>
      </c>
      <c r="C26" s="101">
        <f>IFERROR(VLOOKUP($B26,'BS FY21'!$A:$F,COLUMNS('BS FY21'!$A:$F),FALSE),0)</f>
        <v>34379</v>
      </c>
      <c r="D26" s="94">
        <f>IFERROR(VLOOKUP($B26,'BS FY21'!$A:$F,COLUMNS('BS FY21'!$A:$C),FALSE),0)</f>
        <v>36429</v>
      </c>
      <c r="E26" s="94">
        <f>IFERROR(VLOOKUP($B26,'BS FY23'!$A:$J,COLUMNS('BS FY23'!$A:$J),FALSE),0)</f>
        <v>47616</v>
      </c>
      <c r="F26" s="94">
        <f>IFERROR(VLOOKUP($B26,'BS FY23'!$A:$J,COLUMNS('BS FY23'!$A:$D),FALSE),0)</f>
        <v>45924</v>
      </c>
      <c r="G26" s="94">
        <f>IFERROR(VLOOKUP($B26,'BS Q1-24'!$A:$J,COLUMNS('BS Q1-24'!$A:$D),FALSE),0)</f>
        <v>41410</v>
      </c>
      <c r="H26" s="94">
        <f>IFERROR(VLOOKUP($B26,'BS Q2-24'!$A:$J,COLUMNS('BS Q2-24'!$A:$D),FALSE),0)</f>
        <v>41230</v>
      </c>
      <c r="I26" s="94">
        <f>IFERROR(VLOOKUP($B26,'BS Q3-24'!$A:$J,COLUMNS('BS Q3-24'!$A:$D),FALSE),0)</f>
        <v>39532</v>
      </c>
      <c r="J26" s="105"/>
      <c r="K26" s="105"/>
      <c r="L26" s="105"/>
      <c r="M26" s="105"/>
      <c r="N26" s="105"/>
      <c r="O26" s="105"/>
      <c r="P26" s="105"/>
      <c r="Q26" s="105"/>
      <c r="Y26" s="9"/>
    </row>
    <row r="27" spans="1:25" x14ac:dyDescent="0.25">
      <c r="B27" t="s">
        <v>73</v>
      </c>
      <c r="C27" s="101">
        <f>IFERROR(VLOOKUP($B27,'BS FY21'!$A:$F,COLUMNS('BS FY21'!$A:$F),FALSE),0)</f>
        <v>121727</v>
      </c>
      <c r="D27" s="94">
        <f>IFERROR(VLOOKUP($B27,'BS FY21'!$A:$F,COLUMNS('BS FY21'!$A:$C),FALSE),0)</f>
        <v>108827</v>
      </c>
      <c r="E27" s="94">
        <f>IFERROR(VLOOKUP($B27,'BS FY23'!$A:$J,COLUMNS('BS FY23'!$A:$J),FALSE),0)</f>
        <v>124659</v>
      </c>
      <c r="F27" s="94">
        <f>IFERROR(VLOOKUP($B27,'BS FY23'!$A:$J,COLUMNS('BS FY23'!$A:$D),FALSE),0)</f>
        <v>131801</v>
      </c>
      <c r="G27" s="94">
        <f>IFERROR(VLOOKUP($B27,'BS Q1-24'!$A:$J,COLUMNS('BS Q1-24'!$A:$D),FALSE),0)</f>
        <v>131801</v>
      </c>
      <c r="H27" s="94">
        <f>IFERROR(VLOOKUP($B27,'BS Q2-24'!$A:$J,COLUMNS('BS Q2-24'!$A:$D),FALSE),0)</f>
        <v>131761</v>
      </c>
      <c r="I27" s="94">
        <f>IFERROR(VLOOKUP($B27,'BS Q3-24'!$A:$J,COLUMNS('BS Q3-24'!$A:$D),FALSE),0)</f>
        <v>130729</v>
      </c>
      <c r="J27" s="105"/>
      <c r="K27" s="105"/>
      <c r="L27" s="105"/>
      <c r="M27" s="105"/>
      <c r="N27" s="105"/>
      <c r="O27" s="105"/>
      <c r="P27" s="105"/>
      <c r="Q27" s="105"/>
      <c r="Y27" s="9"/>
    </row>
    <row r="28" spans="1:25" x14ac:dyDescent="0.25">
      <c r="B28" t="s">
        <v>170</v>
      </c>
      <c r="C28" s="105">
        <v>0</v>
      </c>
      <c r="D28" s="105">
        <f>IFERROR(VLOOKUP($B28,'BS FY21'!$A:$F,COLUMNS('BS FY21'!$A:$C),FALSE),0)</f>
        <v>9443</v>
      </c>
      <c r="E28" s="105">
        <f>IFERROR(VLOOKUP($B28,'BS FY23'!$A:$J,COLUMNS('BS FY23'!$A:$J),FALSE),0)</f>
        <v>0</v>
      </c>
      <c r="F28" s="105">
        <f>IFERROR(VLOOKUP($B28,'BS FY23'!$A:$J,COLUMNS('BS FY23'!$A:$D),FALSE),0)</f>
        <v>0</v>
      </c>
      <c r="G28" s="105">
        <f>IFERROR(VLOOKUP($B28,'BS Q1-24'!$A:$J,COLUMNS('BS Q1-24'!$A:$D),FALSE),0)</f>
        <v>0</v>
      </c>
      <c r="H28" s="105">
        <f>IFERROR(VLOOKUP($B28,'BS Q2-24'!$A:$J,COLUMNS('BS Q2-24'!$A:$D),FALSE),0)</f>
        <v>0</v>
      </c>
      <c r="I28" s="105">
        <f>IFERROR(VLOOKUP($B28,'BS Q3-24'!$A:$J,COLUMNS('BS Q3-24'!$A:$D),FALSE),0)</f>
        <v>0</v>
      </c>
      <c r="J28" s="105"/>
      <c r="Y28" s="9"/>
    </row>
    <row r="29" spans="1:25" x14ac:dyDescent="0.25">
      <c r="B29" s="4" t="s">
        <v>74</v>
      </c>
      <c r="C29" s="97">
        <f>IFERROR(VLOOKUP($B29,'BS FY21'!$A:$F,COLUMNS('BS FY21'!$A:$F),FALSE),0)</f>
        <v>1061857</v>
      </c>
      <c r="D29" s="97">
        <f>IFERROR(VLOOKUP($B29,'BS FY21'!$A:$F,COLUMNS('BS FY21'!$A:$C),FALSE),0)</f>
        <v>1300243</v>
      </c>
      <c r="E29" s="97">
        <f>IFERROR(VLOOKUP($B29,'BS FY23'!$A:$J,COLUMNS('BS FY23'!$A:$J),FALSE),0)</f>
        <v>1367131</v>
      </c>
      <c r="F29" s="97">
        <f>IFERROR(VLOOKUP($B29,'BS FY23'!$A:$J,COLUMNS('BS FY23'!$A:$D),FALSE),0)</f>
        <v>1051552</v>
      </c>
      <c r="G29" s="97">
        <f>IFERROR(VLOOKUP($B29,'BS Q1-24'!$A:$J,COLUMNS('BS Q1-24'!$A:$D),FALSE),0)</f>
        <v>1095499</v>
      </c>
      <c r="H29" s="97">
        <f>IFERROR(VLOOKUP($B29,'BS Q2-24'!$A:$J,COLUMNS('BS Q2-24'!$A:$D),FALSE),0)</f>
        <v>1097895</v>
      </c>
      <c r="I29" s="97">
        <f>IFERROR(VLOOKUP($B29,'BS Q3-24'!$A:$J,COLUMNS('BS Q3-24'!$A:$D),FALSE),0)</f>
        <v>1053585</v>
      </c>
      <c r="J29" s="115"/>
      <c r="K29" s="113"/>
      <c r="L29" s="113"/>
      <c r="M29" s="113"/>
      <c r="N29" s="113"/>
      <c r="O29" s="113"/>
      <c r="P29" s="113"/>
      <c r="Q29" s="113"/>
      <c r="Y29" s="9"/>
    </row>
    <row r="30" spans="1:25" x14ac:dyDescent="0.25">
      <c r="B30" t="s">
        <v>75</v>
      </c>
      <c r="C30" s="107">
        <f>IFERROR(VLOOKUP($B30,'BS FY21'!$A:$F,COLUMNS('BS FY21'!$A:$F),FALSE),0)</f>
        <v>0</v>
      </c>
      <c r="D30" s="107">
        <f>IFERROR(VLOOKUP($B30,'BS FY21'!$A:$F,COLUMNS('BS FY21'!$A:$C),FALSE),0)</f>
        <v>0</v>
      </c>
      <c r="E30" s="107">
        <f>IFERROR(VLOOKUP($B30,'BS FY23'!$A:$J,COLUMNS('BS FY23'!$A:$J),FALSE),0)</f>
        <v>0</v>
      </c>
      <c r="F30" s="107">
        <f>IFERROR(VLOOKUP($B30,'BS FY23'!$A:$J,COLUMNS('BS FY23'!$A:$D),FALSE),0)</f>
        <v>0</v>
      </c>
      <c r="G30" s="107">
        <f>IFERROR(VLOOKUP($B30,'BS Q1-24'!$A:$J,COLUMNS('BS Q1-24'!$A:$D),FALSE),0)</f>
        <v>0</v>
      </c>
      <c r="H30" s="107">
        <f>IFERROR(VLOOKUP($B30,'BS Q2-24'!$A:$J,COLUMNS('BS Q2-24'!$A:$D),FALSE),0)</f>
        <v>0</v>
      </c>
      <c r="I30" s="107">
        <f>IFERROR(VLOOKUP($B30,'BS Q3-24'!$A:$J,COLUMNS('BS Q3-24'!$A:$D),FALSE),0)</f>
        <v>0</v>
      </c>
      <c r="J30" s="105"/>
      <c r="K30" s="117"/>
      <c r="Y30" s="9"/>
    </row>
    <row r="31" spans="1:25" x14ac:dyDescent="0.25">
      <c r="B31" t="s">
        <v>76</v>
      </c>
      <c r="C31" s="107">
        <f>IFERROR(VLOOKUP($B31,'BS FY21'!$A:$F,COLUMNS('BS FY21'!$A:$F),FALSE),0)</f>
        <v>0</v>
      </c>
      <c r="D31" s="107">
        <f>IFERROR(VLOOKUP($B31,'BS FY21'!$A:$F,COLUMNS('BS FY21'!$A:$C),FALSE),0)</f>
        <v>0</v>
      </c>
      <c r="E31" s="107">
        <f>IFERROR(VLOOKUP($B31,'BS FY23'!$A:$J,COLUMNS('BS FY23'!$A:$J),FALSE),0)</f>
        <v>0</v>
      </c>
      <c r="F31" s="107">
        <f>IFERROR(VLOOKUP($B31,'BS FY23'!$A:$J,COLUMNS('BS FY23'!$A:$D),FALSE),0)</f>
        <v>0</v>
      </c>
      <c r="G31" s="107">
        <f>IFERROR(VLOOKUP($B31,'BS Q1-24'!$A:$J,COLUMNS('BS Q1-24'!$A:$D),FALSE),0)</f>
        <v>0</v>
      </c>
      <c r="H31" s="107">
        <f>IFERROR(VLOOKUP($B31,'BS Q2-24'!$A:$J,COLUMNS('BS Q2-24'!$A:$D),FALSE),0)</f>
        <v>0</v>
      </c>
      <c r="I31" s="107">
        <f>IFERROR(VLOOKUP($B31,'BS Q3-24'!$A:$J,COLUMNS('BS Q3-24'!$A:$D),FALSE),0)</f>
        <v>0</v>
      </c>
      <c r="J31" s="105"/>
      <c r="Y31" s="9"/>
    </row>
    <row r="32" spans="1:25" x14ac:dyDescent="0.25">
      <c r="B32" t="s">
        <v>77</v>
      </c>
      <c r="C32" s="107">
        <f>IFERROR(VLOOKUP($B32,'BS FY21'!$A:$F,COLUMNS('BS FY21'!$A:$F),FALSE),0)</f>
        <v>0</v>
      </c>
      <c r="D32" s="107">
        <f>IFERROR(VLOOKUP($B32,'BS FY21'!$A:$F,COLUMNS('BS FY21'!$A:$C),FALSE),0)</f>
        <v>0</v>
      </c>
      <c r="E32" s="107">
        <f>IFERROR(VLOOKUP($B32,'BS FY23'!$A:$J,COLUMNS('BS FY23'!$A:$J),FALSE),0)</f>
        <v>0</v>
      </c>
      <c r="F32" s="107">
        <f>IFERROR(VLOOKUP($B32,'BS FY23'!$A:$J,COLUMNS('BS FY23'!$A:$D),FALSE),0)</f>
        <v>0</v>
      </c>
      <c r="G32" s="107">
        <f>IFERROR(VLOOKUP($B32,'BS Q1-24'!$A:$J,COLUMNS('BS Q1-24'!$A:$D),FALSE),0)</f>
        <v>0</v>
      </c>
      <c r="H32" s="107">
        <f>IFERROR(VLOOKUP($B32,'BS Q2-24'!$A:$J,COLUMNS('BS Q2-24'!$A:$D),FALSE),0)</f>
        <v>0</v>
      </c>
      <c r="I32" s="107">
        <f>IFERROR(VLOOKUP($B32,'BS Q3-24'!$A:$J,COLUMNS('BS Q3-24'!$A:$D),FALSE),0)</f>
        <v>0</v>
      </c>
      <c r="J32" s="105"/>
      <c r="Y32" s="9"/>
    </row>
    <row r="33" spans="2:25" x14ac:dyDescent="0.25">
      <c r="B33" t="s">
        <v>203</v>
      </c>
      <c r="C33" s="107">
        <v>0</v>
      </c>
      <c r="D33" s="107">
        <v>0</v>
      </c>
      <c r="E33" s="107">
        <v>0</v>
      </c>
      <c r="F33" s="107">
        <v>0</v>
      </c>
      <c r="G33" s="107">
        <v>0</v>
      </c>
      <c r="H33" s="107">
        <v>0</v>
      </c>
      <c r="I33" s="107">
        <v>0</v>
      </c>
      <c r="J33" s="105"/>
      <c r="Y33" s="9"/>
    </row>
    <row r="34" spans="2:25" x14ac:dyDescent="0.25">
      <c r="B34" t="s">
        <v>210</v>
      </c>
      <c r="C34" s="94">
        <f>IFERROR(VLOOKUP($B34,'BS FY21'!$A:$F,COLUMNS('BS FY21'!$A:$F),FALSE),0)</f>
        <v>47</v>
      </c>
      <c r="D34" s="94">
        <f>IFERROR(VLOOKUP($B34,'BS FY21'!$A:$F,COLUMNS('BS FY21'!$A:$C),FALSE),0)</f>
        <v>48</v>
      </c>
      <c r="E34" s="94">
        <f>IFERROR(VLOOKUP($B34,'BS FY23'!$A:$J,COLUMNS('BS FY23'!$A:$J),FALSE),0)</f>
        <v>48</v>
      </c>
      <c r="F34" s="94">
        <f>IFERROR(VLOOKUP($B34,'BS FY23'!$A:$J,COLUMNS('BS FY23'!$A:$D),FALSE),0)</f>
        <v>48</v>
      </c>
      <c r="G34" s="94">
        <f>IFERROR(VLOOKUP($B34,'BS Q1-24'!$A:$J,COLUMNS('BS Q1-24'!$A:$D),FALSE),0)</f>
        <v>58</v>
      </c>
      <c r="H34" s="94">
        <f>IFERROR(VLOOKUP($B34,'BS Q2-24'!$A:$J,COLUMNS('BS Q2-24'!$A:$D),FALSE),0)</f>
        <v>58</v>
      </c>
      <c r="I34" s="94">
        <f>IFERROR(VLOOKUP($B34,'BS Q3-24'!$A:$J,COLUMNS('BS Q3-24'!$A:$D),FALSE),0)</f>
        <v>57</v>
      </c>
      <c r="J34" s="105"/>
      <c r="Y34" s="9"/>
    </row>
    <row r="35" spans="2:25" x14ac:dyDescent="0.25">
      <c r="B35" t="s">
        <v>211</v>
      </c>
      <c r="C35" s="105">
        <f>IFERROR(VLOOKUP($B35,'BS FY21'!$A:$F,COLUMNS('BS FY21'!$A:$F),FALSE),0)</f>
        <v>10</v>
      </c>
      <c r="D35" s="105">
        <f>IFERROR(VLOOKUP($B35,'BS FY21'!$A:$F,COLUMNS('BS FY21'!$A:$C),FALSE),0)</f>
        <v>9</v>
      </c>
      <c r="E35" s="105">
        <f>IFERROR(VLOOKUP($B35,'BS FY23'!$A:$J,COLUMNS('BS FY23'!$A:$J),FALSE),0)</f>
        <v>9</v>
      </c>
      <c r="F35" s="105">
        <f>IFERROR(VLOOKUP($B35,'BS FY23'!$A:$J,COLUMNS('BS FY23'!$A:$D),FALSE),0)</f>
        <v>9</v>
      </c>
      <c r="G35" s="105">
        <v>0</v>
      </c>
      <c r="H35" s="105">
        <v>0</v>
      </c>
      <c r="I35" s="105">
        <v>0</v>
      </c>
      <c r="J35" s="105"/>
      <c r="Y35" s="9"/>
    </row>
    <row r="36" spans="2:25" x14ac:dyDescent="0.25">
      <c r="B36" t="s">
        <v>79</v>
      </c>
      <c r="C36" s="94">
        <f>IFERROR(VLOOKUP($B36,'BS FY21'!$A:$F,COLUMNS('BS FY21'!$A:$F),FALSE),0)</f>
        <v>690739</v>
      </c>
      <c r="D36" s="94">
        <f>IFERROR(VLOOKUP($B36,'BS FY21'!$A:$F,COLUMNS('BS FY21'!$A:$C),FALSE),0)</f>
        <v>740867</v>
      </c>
      <c r="E36" s="94">
        <f>IFERROR(VLOOKUP($B36,'BS FY23'!$A:$J,COLUMNS('BS FY23'!$A:$J),FALSE),0)</f>
        <v>798408</v>
      </c>
      <c r="F36" s="94">
        <f>IFERROR(VLOOKUP($B36,'BS FY23'!$A:$J,COLUMNS('BS FY23'!$A:$D),FALSE),0)</f>
        <v>849502</v>
      </c>
      <c r="G36" s="94">
        <f>IFERROR(VLOOKUP($B36,'BS Q1-24'!$A:$J,COLUMNS('BS Q1-24'!$A:$D),FALSE),0)</f>
        <v>1052729</v>
      </c>
      <c r="H36" s="94">
        <f>IFERROR(VLOOKUP($B36,'BS Q2-24'!$A:$J,COLUMNS('BS Q2-24'!$A:$D),FALSE),0)</f>
        <v>1059405</v>
      </c>
      <c r="I36" s="94">
        <f>IFERROR(VLOOKUP($B36,'BS Q3-24'!$A:$J,COLUMNS('BS Q3-24'!$A:$D),FALSE),0)</f>
        <v>1063738</v>
      </c>
      <c r="J36" s="105"/>
      <c r="R36" s="9"/>
      <c r="Y36" s="9"/>
    </row>
    <row r="37" spans="2:25" x14ac:dyDescent="0.25">
      <c r="B37" t="s">
        <v>80</v>
      </c>
      <c r="C37" s="94">
        <f>IFERROR(VLOOKUP($B37,'BS FY21'!$A:$F,COLUMNS('BS FY21'!$A:$F),FALSE),0)</f>
        <v>749515</v>
      </c>
      <c r="D37" s="94">
        <f>IFERROR(VLOOKUP($B37,'BS FY21'!$A:$F,COLUMNS('BS FY21'!$A:$C),FALSE),0)</f>
        <v>532315</v>
      </c>
      <c r="E37" s="94">
        <f>IFERROR(VLOOKUP($B37,'BS FY23'!$A:$J,COLUMNS('BS FY23'!$A:$J),FALSE),0)</f>
        <v>681292</v>
      </c>
      <c r="F37" s="94">
        <f>IFERROR(VLOOKUP($B37,'BS FY23'!$A:$J,COLUMNS('BS FY23'!$A:$D),FALSE),0)</f>
        <v>755007</v>
      </c>
      <c r="G37" s="94">
        <f>IFERROR(VLOOKUP($B37,'BS Q1-24'!$A:$J,COLUMNS('BS Q1-24'!$A:$D),FALSE),0)</f>
        <v>464962</v>
      </c>
      <c r="H37" s="94">
        <f>IFERROR(VLOOKUP($B37,'BS Q2-24'!$A:$J,COLUMNS('BS Q2-24'!$A:$D),FALSE),0)</f>
        <v>463874</v>
      </c>
      <c r="I37" s="94">
        <f>IFERROR(VLOOKUP($B37,'BS Q3-24'!$A:$J,COLUMNS('BS Q3-24'!$A:$D),FALSE),0)</f>
        <v>470085</v>
      </c>
      <c r="J37" s="105"/>
      <c r="Y37" s="9"/>
    </row>
    <row r="38" spans="2:25" x14ac:dyDescent="0.25">
      <c r="B38" t="s">
        <v>81</v>
      </c>
      <c r="C38" s="94">
        <f>IFERROR(VLOOKUP($B38,'BS FY21'!$A:$F,COLUMNS('BS FY21'!$A:$F),FALSE),0)</f>
        <v>-21418</v>
      </c>
      <c r="D38" s="94">
        <f>IFERROR(VLOOKUP($B38,'BS FY21'!$A:$F,COLUMNS('BS FY21'!$A:$C),FALSE),0)</f>
        <v>-17984</v>
      </c>
      <c r="E38" s="94">
        <f>IFERROR(VLOOKUP($B38,'BS FY23'!$A:$J,COLUMNS('BS FY23'!$A:$J),FALSE),0)</f>
        <v>-23121</v>
      </c>
      <c r="F38" s="94">
        <f>IFERROR(VLOOKUP($B38,'BS FY23'!$A:$J,COLUMNS('BS FY23'!$A:$D),FALSE),0)</f>
        <v>-17725</v>
      </c>
      <c r="G38" s="94">
        <f>IFERROR(VLOOKUP($B38,'BS Q1-24'!$A:$J,COLUMNS('BS Q1-24'!$A:$D),FALSE),0)</f>
        <v>-17277</v>
      </c>
      <c r="H38" s="94">
        <f>IFERROR(VLOOKUP($B38,'BS Q2-24'!$A:$J,COLUMNS('BS Q2-24'!$A:$D),FALSE),0)</f>
        <v>-17340</v>
      </c>
      <c r="I38" s="94">
        <f>IFERROR(VLOOKUP($B38,'BS Q3-24'!$A:$J,COLUMNS('BS Q3-24'!$A:$D),FALSE),0)</f>
        <v>-17553</v>
      </c>
      <c r="J38" s="105"/>
      <c r="Y38" s="9"/>
    </row>
    <row r="39" spans="2:25" x14ac:dyDescent="0.25">
      <c r="B39" t="s">
        <v>209</v>
      </c>
      <c r="C39" s="94">
        <f>IFERROR(VLOOKUP($B39,'BS FY21'!$A:$F,COLUMNS('BS FY21'!$A:$F),FALSE),0)</f>
        <v>-103948</v>
      </c>
      <c r="D39" s="94">
        <f>IFERROR(VLOOKUP($B39,'BS FY21'!$A:$F,COLUMNS('BS FY21'!$A:$C),FALSE),0)</f>
        <v>-104384</v>
      </c>
      <c r="E39" s="94">
        <f>IFERROR(VLOOKUP($B39,'BS FY23'!$A:$J,COLUMNS('BS FY23'!$A:$J),FALSE),0)</f>
        <v>-106202</v>
      </c>
      <c r="F39" s="94">
        <f>IFERROR(VLOOKUP($B39,'BS FY23'!$A:$J,COLUMNS('BS FY23'!$A:$D),FALSE),0)</f>
        <v>-107677</v>
      </c>
      <c r="G39" s="94">
        <f>IFERROR(VLOOKUP($B39,'BS Q1-24'!$A:$J,COLUMNS('BS Q1-24'!$A:$D),FALSE),0)</f>
        <v>-115399</v>
      </c>
      <c r="H39" s="94">
        <f>IFERROR(VLOOKUP($B39,'BS Q2-24'!$A:$J,COLUMNS('BS Q2-24'!$A:$D),FALSE),0)</f>
        <v>-115488</v>
      </c>
      <c r="I39" s="94">
        <f>IFERROR(VLOOKUP($B39,'BS Q3-24'!$A:$J,COLUMNS('BS Q3-24'!$A:$D),FALSE),0)</f>
        <v>-114711</v>
      </c>
      <c r="J39" s="105"/>
      <c r="Y39" s="9"/>
    </row>
    <row r="40" spans="2:25" x14ac:dyDescent="0.25">
      <c r="B40" t="s">
        <v>82</v>
      </c>
      <c r="C40" s="94">
        <f>IFERROR(VLOOKUP($B40,'BS FY21'!$A:$F,COLUMNS('BS FY21'!$A:$F),FALSE),0)</f>
        <v>1314945</v>
      </c>
      <c r="D40" s="94">
        <f>IFERROR(VLOOKUP($B40,'BS FY21'!$A:$F,COLUMNS('BS FY21'!$A:$C),FALSE),0)</f>
        <v>1150871</v>
      </c>
      <c r="E40" s="94">
        <f>IFERROR(VLOOKUP($B40,'BS FY23'!$A:$J,COLUMNS('BS FY23'!$A:$J),FALSE),0)</f>
        <v>1350434</v>
      </c>
      <c r="F40" s="94">
        <f>IFERROR(VLOOKUP($B40,'BS FY23'!$A:$J,COLUMNS('BS FY23'!$A:$D),FALSE),0)</f>
        <v>1479164</v>
      </c>
      <c r="G40" s="94">
        <f>IFERROR(VLOOKUP($B40,'BS Q1-24'!$A:$J,COLUMNS('BS Q1-24'!$A:$D),FALSE),0)</f>
        <v>1385073</v>
      </c>
      <c r="H40" s="94">
        <f>IFERROR(VLOOKUP($B40,'BS Q2-24'!$A:$J,COLUMNS('BS Q2-24'!$A:$D),FALSE),0)</f>
        <v>1390509</v>
      </c>
      <c r="I40" s="94">
        <f>IFERROR(VLOOKUP($B40,'BS Q3-24'!$A:$J,COLUMNS('BS Q3-24'!$A:$D),FALSE),0)</f>
        <v>1401616</v>
      </c>
      <c r="J40" s="105"/>
      <c r="Y40" s="9"/>
    </row>
    <row r="41" spans="2:25" x14ac:dyDescent="0.25">
      <c r="B41" t="s">
        <v>83</v>
      </c>
      <c r="C41" s="94">
        <f>IFERROR(VLOOKUP($B41,'BS FY21'!$A:$F,COLUMNS('BS FY21'!$A:$F),FALSE),0)</f>
        <v>5628</v>
      </c>
      <c r="D41" s="94">
        <f>IFERROR(VLOOKUP($B41,'BS FY21'!$A:$F,COLUMNS('BS FY21'!$A:$C),FALSE),0)</f>
        <v>11001</v>
      </c>
      <c r="E41" s="94">
        <f>IFERROR(VLOOKUP($B41,'BS FY23'!$A:$J,COLUMNS('BS FY23'!$A:$J),FALSE),0)</f>
        <v>11849</v>
      </c>
      <c r="F41" s="94">
        <f>IFERROR(VLOOKUP($B41,'BS FY23'!$A:$J,COLUMNS('BS FY23'!$A:$D),FALSE),0)</f>
        <v>13418</v>
      </c>
      <c r="G41" s="94">
        <f>IFERROR(VLOOKUP($B41,'BS Q1-24'!$A:$J,COLUMNS('BS Q1-24'!$A:$D),FALSE),0)</f>
        <v>13152</v>
      </c>
      <c r="H41" s="94">
        <f>IFERROR(VLOOKUP($B41,'BS Q2-24'!$A:$J,COLUMNS('BS Q2-24'!$A:$D),FALSE),0)</f>
        <v>12990</v>
      </c>
      <c r="I41" s="94">
        <f>IFERROR(VLOOKUP($B41,'BS Q3-24'!$A:$J,COLUMNS('BS Q3-24'!$A:$D),FALSE),0)</f>
        <v>12593</v>
      </c>
      <c r="J41" s="105"/>
      <c r="Y41" s="9"/>
    </row>
    <row r="42" spans="2:25" s="4" customFormat="1" x14ac:dyDescent="0.25">
      <c r="B42" s="4" t="s">
        <v>171</v>
      </c>
      <c r="C42" s="97">
        <f>IFERROR(VLOOKUP($B42,'BS FY21'!$A:$F,COLUMNS('BS FY21'!$A:$F),FALSE),0)</f>
        <v>1320573</v>
      </c>
      <c r="D42" s="97">
        <f>IFERROR(VLOOKUP($B42,'BS FY21'!$A:$F,COLUMNS('BS FY21'!$A:$C),FALSE),0)</f>
        <v>1161872</v>
      </c>
      <c r="E42" s="97">
        <f>IFERROR(VLOOKUP($B42,'BS FY23'!$A:$J,COLUMNS('BS FY23'!$A:$J),FALSE),0)</f>
        <v>1362283</v>
      </c>
      <c r="F42" s="97">
        <f>IFERROR(VLOOKUP($B42,'BS FY23'!$A:$J,COLUMNS('BS FY23'!$A:$D),FALSE),0)</f>
        <v>1492582</v>
      </c>
      <c r="G42" s="97">
        <f>IFERROR(VLOOKUP($B42,'BS Q1-24'!$A:$J,COLUMNS('BS Q1-24'!$A:$D),FALSE),0)</f>
        <v>1398225</v>
      </c>
      <c r="H42" s="97">
        <f>IFERROR(VLOOKUP($B42,'BS Q2-24'!$A:$J,COLUMNS('BS Q2-24'!$A:$D),FALSE),0)</f>
        <v>1403499</v>
      </c>
      <c r="I42" s="97">
        <f>IFERROR(VLOOKUP($B42,'BS Q3-24'!$A:$J,COLUMNS('BS Q3-24'!$A:$D),FALSE),0)</f>
        <v>1414209</v>
      </c>
      <c r="J42" s="115"/>
      <c r="K42" s="113"/>
      <c r="L42" s="113"/>
      <c r="M42" s="113"/>
      <c r="N42" s="113"/>
      <c r="O42" s="113"/>
      <c r="P42" s="113"/>
      <c r="Q42" s="113"/>
      <c r="S42"/>
      <c r="T42"/>
      <c r="U42"/>
      <c r="V42"/>
      <c r="W42"/>
      <c r="X42"/>
      <c r="Y42" s="9"/>
    </row>
    <row r="43" spans="2:25" s="4" customFormat="1" x14ac:dyDescent="0.25">
      <c r="B43" s="4" t="s">
        <v>84</v>
      </c>
      <c r="C43" s="97">
        <f>IFERROR(VLOOKUP($B43,'BS FY21'!$A:$F,COLUMNS('BS FY21'!$A:$F),FALSE),0)</f>
        <v>2382430</v>
      </c>
      <c r="D43" s="97">
        <f>IFERROR(VLOOKUP($B43,'BS FY21'!$A:$F,COLUMNS('BS FY21'!$A:$C),FALSE),0)</f>
        <v>2462115</v>
      </c>
      <c r="E43" s="97">
        <f>IFERROR(VLOOKUP($B43,'BS FY23'!$A:$J,COLUMNS('BS FY23'!$A:$J),FALSE),0)</f>
        <v>2729414</v>
      </c>
      <c r="F43" s="97">
        <f>IFERROR(VLOOKUP($B43,'BS FY23'!$A:$J,COLUMNS('BS FY23'!$A:$D),FALSE),0)</f>
        <v>2544134</v>
      </c>
      <c r="G43" s="97">
        <f>IFERROR(VLOOKUP($B43,'BS Q1-24'!$A:$J,COLUMNS('BS Q1-24'!$A:$D),FALSE),0)</f>
        <v>2493724</v>
      </c>
      <c r="H43" s="97">
        <f>IFERROR(VLOOKUP($B43,'BS Q2-24'!$A:$J,COLUMNS('BS Q2-24'!$A:$D),FALSE),0)</f>
        <v>2501394</v>
      </c>
      <c r="I43" s="97">
        <f>IFERROR(VLOOKUP($B43,'BS Q3-24'!$A:$J,COLUMNS('BS Q3-24'!$A:$D),FALSE),0)</f>
        <v>2467794</v>
      </c>
      <c r="J43" s="115"/>
      <c r="K43" s="113"/>
      <c r="L43" s="113"/>
      <c r="M43" s="113"/>
      <c r="N43" s="113"/>
      <c r="O43" s="113"/>
      <c r="P43" s="113"/>
      <c r="Q43" s="113"/>
      <c r="S43"/>
      <c r="T43"/>
      <c r="U43"/>
      <c r="V43"/>
      <c r="W43"/>
      <c r="X43"/>
      <c r="Y43" s="9"/>
    </row>
    <row r="44" spans="2:25" x14ac:dyDescent="0.25">
      <c r="C44" s="118">
        <f>C43-C17</f>
        <v>0</v>
      </c>
      <c r="D44" s="118">
        <f t="shared" ref="D44:I44" si="6">D43-D17</f>
        <v>0</v>
      </c>
      <c r="E44" s="118">
        <f t="shared" si="6"/>
        <v>0</v>
      </c>
      <c r="F44" s="118">
        <f t="shared" si="6"/>
        <v>0</v>
      </c>
      <c r="G44" s="118">
        <f t="shared" si="6"/>
        <v>0</v>
      </c>
      <c r="H44" s="118">
        <f t="shared" si="6"/>
        <v>0</v>
      </c>
      <c r="I44" s="118">
        <f t="shared" si="6"/>
        <v>0</v>
      </c>
      <c r="J44" s="118"/>
      <c r="K44" s="118"/>
      <c r="L44" s="118"/>
      <c r="M44" s="118"/>
      <c r="N44" s="118"/>
      <c r="O44" s="118"/>
      <c r="P44" s="118"/>
      <c r="Q44" s="118"/>
    </row>
    <row r="45" spans="2:25" x14ac:dyDescent="0.25">
      <c r="C45" s="94">
        <f t="shared" ref="C45:I45" si="7">SUM(C7:C43)</f>
        <v>14873598</v>
      </c>
      <c r="D45" s="94">
        <f t="shared" si="7"/>
        <v>15337619</v>
      </c>
      <c r="E45" s="94">
        <f t="shared" si="7"/>
        <v>17267071</v>
      </c>
      <c r="F45" s="94">
        <f t="shared" si="7"/>
        <v>16166783</v>
      </c>
      <c r="G45" s="94">
        <f t="shared" si="7"/>
        <v>15752517</v>
      </c>
      <c r="H45" s="94">
        <f t="shared" si="7"/>
        <v>15792822</v>
      </c>
      <c r="I45" s="94">
        <f t="shared" si="7"/>
        <v>15536946</v>
      </c>
    </row>
    <row r="46" spans="2:25" x14ac:dyDescent="0.25">
      <c r="B46" s="119" t="s">
        <v>207</v>
      </c>
      <c r="C46" s="94">
        <f>'BS FY21'!F49</f>
        <v>14873598</v>
      </c>
      <c r="D46" s="94">
        <f>'BS FY21'!C49</f>
        <v>15337619</v>
      </c>
      <c r="E46" s="94">
        <f>'BS FY23'!J45</f>
        <v>17267071</v>
      </c>
      <c r="F46" s="94">
        <f>'BS FY23'!D45</f>
        <v>16166783</v>
      </c>
      <c r="G46" s="94">
        <f>'BS Q1-24'!D46</f>
        <v>15752517</v>
      </c>
      <c r="H46" s="94">
        <f>'BS Q2-24'!D46</f>
        <v>15792822</v>
      </c>
      <c r="I46" s="94">
        <f>'BS Q3-24'!D46</f>
        <v>15536946</v>
      </c>
    </row>
    <row r="47" spans="2:25" x14ac:dyDescent="0.25">
      <c r="C47" s="169">
        <f>C45-C46</f>
        <v>0</v>
      </c>
      <c r="D47" s="169">
        <f t="shared" ref="D47:I47" si="8">D45-D46</f>
        <v>0</v>
      </c>
      <c r="E47" s="169">
        <f t="shared" si="8"/>
        <v>0</v>
      </c>
      <c r="F47" s="169">
        <f t="shared" si="8"/>
        <v>0</v>
      </c>
      <c r="G47" s="169">
        <f t="shared" si="8"/>
        <v>0</v>
      </c>
      <c r="H47" s="169">
        <f t="shared" si="8"/>
        <v>0</v>
      </c>
      <c r="I47" s="169">
        <f t="shared" si="8"/>
        <v>0</v>
      </c>
    </row>
    <row r="49" spans="2:25" x14ac:dyDescent="0.25">
      <c r="B49"/>
      <c r="C49" s="9">
        <f t="shared" ref="C49:H49" si="9">C11-C7-C24+C20</f>
        <v>826074</v>
      </c>
      <c r="D49" s="9">
        <f t="shared" si="9"/>
        <v>914214</v>
      </c>
      <c r="E49" s="9">
        <f t="shared" si="9"/>
        <v>1099822</v>
      </c>
      <c r="F49" s="9">
        <f t="shared" si="9"/>
        <v>847960</v>
      </c>
      <c r="G49" s="9">
        <f t="shared" si="9"/>
        <v>861351</v>
      </c>
      <c r="H49" s="9">
        <f t="shared" si="9"/>
        <v>870085</v>
      </c>
      <c r="I49" s="9">
        <f>I11-I7-I24+I20</f>
        <v>809743</v>
      </c>
      <c r="J49" s="9">
        <f>J3*J2*4</f>
        <v>844251.1016862198</v>
      </c>
      <c r="K49" s="9">
        <f t="shared" ref="K49:R49" si="10">K3*K2</f>
        <v>844251.1016862198</v>
      </c>
      <c r="L49" s="9">
        <f t="shared" si="10"/>
        <v>913105.81904562481</v>
      </c>
      <c r="M49" s="9">
        <f t="shared" si="10"/>
        <v>931965.99284888292</v>
      </c>
      <c r="N49" s="9">
        <f t="shared" si="10"/>
        <v>949087.41832621908</v>
      </c>
      <c r="O49" s="9">
        <f t="shared" si="10"/>
        <v>961169.89176469832</v>
      </c>
      <c r="P49" s="9">
        <f t="shared" si="10"/>
        <v>996255.36586116813</v>
      </c>
      <c r="Q49" s="9">
        <f t="shared" si="10"/>
        <v>1034987.197265303</v>
      </c>
      <c r="R49" s="9">
        <f t="shared" si="10"/>
        <v>1081893.1637603939</v>
      </c>
      <c r="Y49" s="9"/>
    </row>
    <row r="50" spans="2:25" x14ac:dyDescent="0.25">
      <c r="B50" s="119" t="s">
        <v>207</v>
      </c>
      <c r="C50" s="168">
        <f>C11-C24-C49-C7+C20</f>
        <v>0</v>
      </c>
      <c r="D50" s="168">
        <f t="shared" ref="D50:R50" si="11">D11-D24-D49-D7+D20</f>
        <v>0</v>
      </c>
      <c r="E50" s="168">
        <f t="shared" si="11"/>
        <v>0</v>
      </c>
      <c r="F50" s="168">
        <f t="shared" si="11"/>
        <v>0</v>
      </c>
      <c r="G50" s="168">
        <f t="shared" si="11"/>
        <v>0</v>
      </c>
      <c r="H50" s="168">
        <f t="shared" si="11"/>
        <v>0</v>
      </c>
      <c r="I50" s="168">
        <f t="shared" si="11"/>
        <v>0</v>
      </c>
      <c r="J50" s="168">
        <f>J11-J24-J49-J7+J20</f>
        <v>0</v>
      </c>
      <c r="K50" s="168">
        <f t="shared" si="11"/>
        <v>0</v>
      </c>
      <c r="L50" s="168">
        <f t="shared" si="11"/>
        <v>0</v>
      </c>
      <c r="M50" s="168">
        <f t="shared" si="11"/>
        <v>0</v>
      </c>
      <c r="N50" s="168">
        <f t="shared" si="11"/>
        <v>0</v>
      </c>
      <c r="O50" s="168">
        <f t="shared" si="11"/>
        <v>0</v>
      </c>
      <c r="P50" s="168">
        <f t="shared" si="11"/>
        <v>0</v>
      </c>
      <c r="Q50" s="168">
        <f t="shared" si="11"/>
        <v>0</v>
      </c>
      <c r="R50" s="168">
        <f t="shared" si="11"/>
        <v>0</v>
      </c>
    </row>
    <row r="51" spans="2:25" x14ac:dyDescent="0.25">
      <c r="B51"/>
      <c r="C51"/>
      <c r="D51"/>
      <c r="E51"/>
      <c r="F51"/>
      <c r="G51"/>
      <c r="H51"/>
      <c r="I51" s="9"/>
      <c r="J51"/>
    </row>
    <row r="52" spans="2:25" x14ac:dyDescent="0.25">
      <c r="B52"/>
      <c r="C52"/>
      <c r="D52"/>
      <c r="E52"/>
      <c r="F52"/>
      <c r="G52"/>
      <c r="H52"/>
      <c r="I52"/>
      <c r="J52"/>
    </row>
    <row r="53" spans="2:25" x14ac:dyDescent="0.25">
      <c r="B53"/>
      <c r="C53"/>
      <c r="D53"/>
      <c r="E53"/>
      <c r="F53"/>
      <c r="G53"/>
      <c r="H53"/>
      <c r="I53"/>
      <c r="J5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4653-3508-455A-A386-7C53BE67286F}">
  <dimension ref="B2:Z60"/>
  <sheetViews>
    <sheetView showGridLines="0" topLeftCell="A21" workbookViewId="0">
      <selection activeCell="I48" sqref="I48"/>
    </sheetView>
  </sheetViews>
  <sheetFormatPr defaultRowHeight="15" x14ac:dyDescent="0.25"/>
  <cols>
    <col min="2" max="2" width="88.42578125" bestFit="1" customWidth="1"/>
    <col min="3" max="3" width="13.5703125" style="92" bestFit="1" customWidth="1"/>
    <col min="4" max="6" width="12.5703125" style="92" bestFit="1" customWidth="1"/>
    <col min="7" max="7" width="12.42578125" style="92" customWidth="1"/>
    <col min="8" max="9" width="12.28515625" style="92" customWidth="1"/>
    <col min="10" max="10" width="9" customWidth="1"/>
    <col min="11" max="18" width="9.7109375" customWidth="1"/>
    <col min="20" max="20" width="12.28515625" style="63" bestFit="1" customWidth="1"/>
    <col min="21" max="21" width="11.5703125" style="63" bestFit="1" customWidth="1"/>
    <col min="22" max="22" width="11.28515625" style="63" bestFit="1" customWidth="1"/>
    <col min="23" max="26" width="12.28515625" style="63" bestFit="1" customWidth="1"/>
  </cols>
  <sheetData>
    <row r="2" spans="2:26" x14ac:dyDescent="0.25">
      <c r="C2"/>
      <c r="D2"/>
      <c r="E2"/>
      <c r="F2"/>
      <c r="G2"/>
      <c r="H2"/>
      <c r="I2"/>
      <c r="T2"/>
      <c r="U2"/>
      <c r="V2"/>
      <c r="W2"/>
      <c r="X2"/>
      <c r="Y2"/>
      <c r="Z2"/>
    </row>
    <row r="3" spans="2:26" ht="15.75" thickBot="1" x14ac:dyDescent="0.3"/>
    <row r="4" spans="2:26" x14ac:dyDescent="0.25">
      <c r="C4" s="128" t="s">
        <v>191</v>
      </c>
      <c r="D4" s="128" t="s">
        <v>192</v>
      </c>
      <c r="E4" s="128" t="s">
        <v>193</v>
      </c>
      <c r="F4" s="128" t="s">
        <v>194</v>
      </c>
      <c r="G4" s="129" t="s">
        <v>204</v>
      </c>
      <c r="H4" s="130" t="s">
        <v>205</v>
      </c>
      <c r="I4" s="131" t="s">
        <v>206</v>
      </c>
      <c r="S4" s="132"/>
    </row>
    <row r="5" spans="2:26" x14ac:dyDescent="0.25">
      <c r="B5" s="4" t="s">
        <v>109</v>
      </c>
      <c r="G5" s="93"/>
      <c r="H5" s="94"/>
      <c r="I5" s="64"/>
    </row>
    <row r="6" spans="2:26" x14ac:dyDescent="0.25">
      <c r="B6" s="4" t="s">
        <v>101</v>
      </c>
      <c r="C6" s="92">
        <f>IFERROR(VLOOKUP($B6,'CF FY21'!$A:$J,COLUMNS('CF FY21'!$A:$G),FALSE),0)</f>
        <v>251758</v>
      </c>
      <c r="D6" s="92">
        <f>IFERROR(VLOOKUP($B6,'CF FY21'!$A:$J,COLUMNS('CF FY21'!$A:$D),FALSE),0)</f>
        <v>217937</v>
      </c>
      <c r="E6" s="92">
        <f>IFERROR(VLOOKUP($B6,'CF FY23'!$A:$J,COLUMNS('CF FY23'!$A:$J),FALSE),0)</f>
        <v>340482</v>
      </c>
      <c r="F6" s="92">
        <f>IFERROR(VLOOKUP($B6,'CF FY23'!$A:$J,COLUMNS('CF FY23'!$A:$D),FALSE),0)</f>
        <v>343107</v>
      </c>
      <c r="G6" s="93">
        <f>IFERROR(VLOOKUP($B6,'CF Q1-24'!$A:$J,COLUMNS('CF Q1-24'!$A:$D),FALSE),0)</f>
        <v>69128</v>
      </c>
      <c r="H6" s="94">
        <f>IFERROR(VLOOKUP($B6,'CF Q2-24'!$A:$J,COLUMNS('CF Q2-24'!$A:$F),FALSE),0)</f>
        <v>61565</v>
      </c>
      <c r="I6" s="64">
        <f>IFERROR(VLOOKUP($B6,'CF Q3-24'!$A:$J,COLUMNS('CF Q3-24'!$A:$F),FALSE),0)</f>
        <v>71312</v>
      </c>
    </row>
    <row r="7" spans="2:26" x14ac:dyDescent="0.25">
      <c r="B7" t="s">
        <v>179</v>
      </c>
      <c r="C7" s="92">
        <f>IFERROR(VLOOKUP($B7,'CF FY21'!$A:$J,COLUMNS('CF FY21'!$A:$G),FALSE),0)</f>
        <v>0</v>
      </c>
      <c r="D7" s="92">
        <f>IFERROR(VLOOKUP($B7,'CF FY21'!$A:$J,COLUMNS('CF FY21'!$A:$D),FALSE),0)</f>
        <v>0</v>
      </c>
      <c r="E7" s="92">
        <f>IFERROR(VLOOKUP($B7,'CF FY23'!A:J,COLUMNS('CF FY23'!$A:$J),FALSE),0)</f>
        <v>0</v>
      </c>
      <c r="F7" s="92">
        <f>IFERROR(VLOOKUP($B7,'CF FY23'!$A:$J,COLUMNS('CF FY23'!$A:$D),FALSE),0)</f>
        <v>0</v>
      </c>
      <c r="G7" s="93">
        <f>IFERROR(VLOOKUP($B7,'CF Q1-24'!$A:$J,COLUMNS('CF Q1-24'!$A:$D),FALSE),0)</f>
        <v>0</v>
      </c>
      <c r="H7" s="94">
        <f>IFERROR(VLOOKUP($B7,'CF Q2-24'!$A:$J,COLUMNS('CF Q2-24'!$A:$F),FALSE),0)</f>
        <v>0</v>
      </c>
      <c r="I7" s="64">
        <f>IFERROR(VLOOKUP($B7,'CF Q3-24'!$A:$J,COLUMNS('CF Q3-24'!$A:$F),FALSE),0)</f>
        <v>0</v>
      </c>
    </row>
    <row r="8" spans="2:26" x14ac:dyDescent="0.25">
      <c r="B8" t="s">
        <v>111</v>
      </c>
      <c r="C8" s="92">
        <f>IFERROR(VLOOKUP($B8,'CF FY21'!$A:$J,COLUMNS('CF FY21'!$A:$G),FALSE),0)</f>
        <v>69079</v>
      </c>
      <c r="D8" s="92">
        <f>IFERROR(VLOOKUP($B8,'CF FY21'!$A:$J,COLUMNS('CF FY21'!$A:$D),FALSE),0)</f>
        <v>68846</v>
      </c>
      <c r="E8" s="92">
        <f>IFERROR(VLOOKUP($B8,'CF FY23'!A:J,COLUMNS('CF FY23'!$A:$J),FALSE),0)</f>
        <v>70376</v>
      </c>
      <c r="F8" s="92">
        <f>IFERROR(VLOOKUP($B8,'CF FY23'!$A:$J,COLUMNS('CF FY23'!$A:$D),FALSE),0)</f>
        <v>75129</v>
      </c>
      <c r="G8" s="93">
        <f>IFERROR(VLOOKUP($B8,'CF Q1-24'!$A:$J,COLUMNS('CF Q1-24'!$A:$D),FALSE),0)</f>
        <v>19782</v>
      </c>
      <c r="H8" s="94">
        <f>IFERROR(VLOOKUP($B8,'CF Q2-24'!$A:$J,COLUMNS('CF Q2-24'!$A:$F),FALSE),0)</f>
        <v>20590</v>
      </c>
      <c r="I8" s="64">
        <f>IFERROR(VLOOKUP($B8,'CF Q3-24'!$A:$J,COLUMNS('CF Q3-24'!$A:$F),FALSE),0)</f>
        <v>19916</v>
      </c>
    </row>
    <row r="9" spans="2:26" x14ac:dyDescent="0.25">
      <c r="B9" t="s">
        <v>112</v>
      </c>
      <c r="C9" s="92">
        <f>IFERROR(VLOOKUP($B9,'CF FY21'!$A:$J,COLUMNS('CF FY21'!$A:$G),FALSE),0)</f>
        <v>0</v>
      </c>
      <c r="D9" s="92">
        <f>IFERROR(VLOOKUP($B9,'CF FY21'!$A:$J,COLUMNS('CF FY21'!$A:$D),FALSE),0)</f>
        <v>0</v>
      </c>
      <c r="E9" s="92">
        <f>IFERROR(VLOOKUP($B9,'CF FY23'!A:J,COLUMNS('CF FY23'!$A:$J),FALSE),0)</f>
        <v>0</v>
      </c>
      <c r="F9" s="92">
        <f>IFERROR(VLOOKUP($B9,'CF FY23'!$A:$J,COLUMNS('CF FY23'!$A:$D),FALSE),0)</f>
        <v>0</v>
      </c>
      <c r="G9" s="93">
        <f>IFERROR(VLOOKUP($B9,'CF Q1-24'!$A:$J,COLUMNS('CF Q1-24'!$A:$D),FALSE),0)</f>
        <v>0</v>
      </c>
      <c r="H9" s="94">
        <f>IFERROR(VLOOKUP($B9,'CF Q2-24'!$A:$J,COLUMNS('CF Q2-24'!$A:$F),FALSE),0)</f>
        <v>703</v>
      </c>
      <c r="I9" s="64">
        <f>IFERROR(VLOOKUP($B9,'CF Q3-24'!$A:$J,COLUMNS('CF Q3-24'!$A:$F),FALSE),0)</f>
        <v>734</v>
      </c>
    </row>
    <row r="10" spans="2:26" x14ac:dyDescent="0.25">
      <c r="B10" t="s">
        <v>113</v>
      </c>
      <c r="C10" s="92">
        <f>IFERROR(VLOOKUP($B10,'CF FY21'!$A:$J,COLUMNS('CF FY21'!$A:$G),FALSE),0)</f>
        <v>22696</v>
      </c>
      <c r="D10" s="92">
        <f>IFERROR(VLOOKUP($B10,'CF FY21'!$A:$J,COLUMNS('CF FY21'!$A:$D),FALSE),0)</f>
        <v>18578</v>
      </c>
      <c r="E10" s="92">
        <f>IFERROR(VLOOKUP($B10,'CF FY23'!A:J,COLUMNS('CF FY23'!$A:$J),FALSE),0)</f>
        <v>17190</v>
      </c>
      <c r="F10" s="92">
        <f>IFERROR(VLOOKUP($B10,'CF FY23'!$A:$J,COLUMNS('CF FY23'!$A:$D),FALSE),0)</f>
        <v>20966</v>
      </c>
      <c r="G10" s="93">
        <f>IFERROR(VLOOKUP($B10,'CF Q1-24'!$A:$J,COLUMNS('CF Q1-24'!$A:$D),FALSE),0)</f>
        <v>5559</v>
      </c>
      <c r="H10" s="94">
        <f>IFERROR(VLOOKUP($B10,'CF Q2-24'!$A:$J,COLUMNS('CF Q2-24'!$A:$F),FALSE),0)</f>
        <v>5461</v>
      </c>
      <c r="I10" s="64">
        <f>IFERROR(VLOOKUP($B10,'CF Q3-24'!$A:$J,COLUMNS('CF Q3-24'!$A:$F),FALSE),0)</f>
        <v>5659</v>
      </c>
    </row>
    <row r="11" spans="2:26" x14ac:dyDescent="0.25">
      <c r="B11" t="s">
        <v>114</v>
      </c>
      <c r="C11" s="92">
        <f>IFERROR(VLOOKUP($B11,'CF FY21'!$A:$J,COLUMNS('CF FY21'!$A:$G),FALSE),0)</f>
        <v>16932</v>
      </c>
      <c r="D11" s="92">
        <f>IFERROR(VLOOKUP($B11,'CF FY21'!$A:$J,COLUMNS('CF FY21'!$A:$D),FALSE),0)</f>
        <v>17721</v>
      </c>
      <c r="E11" s="92">
        <f>IFERROR(VLOOKUP($B11,'CF FY23'!A:J,COLUMNS('CF FY23'!$A:$J),FALSE),0)</f>
        <v>19264</v>
      </c>
      <c r="F11" s="92">
        <f>IFERROR(VLOOKUP($B11,'CF FY23'!$A:$J,COLUMNS('CF FY23'!$A:$D),FALSE),0)</f>
        <v>18639</v>
      </c>
      <c r="G11" s="93">
        <f>IFERROR(VLOOKUP($B11,'CF Q1-24'!$A:$J,COLUMNS('CF Q1-24'!$A:$D),FALSE),0)</f>
        <v>5201</v>
      </c>
      <c r="H11" s="94">
        <f>IFERROR(VLOOKUP($B11,'CF Q2-24'!$A:$J,COLUMNS('CF Q2-24'!$A:$F),FALSE),0)</f>
        <v>4688</v>
      </c>
      <c r="I11" s="64">
        <f>IFERROR(VLOOKUP($B11,'CF Q3-24'!$A:$J,COLUMNS('CF Q3-24'!$A:$F),FALSE),0)</f>
        <v>3458</v>
      </c>
    </row>
    <row r="12" spans="2:26" x14ac:dyDescent="0.25">
      <c r="B12" t="s">
        <v>115</v>
      </c>
      <c r="C12" s="92">
        <f>IFERROR(VLOOKUP($B12,'CF FY21'!$A:$J,COLUMNS('CF FY21'!$A:$G),FALSE),0)</f>
        <v>802</v>
      </c>
      <c r="D12" s="92">
        <f>IFERROR(VLOOKUP($B12,'CF FY21'!$A:$J,COLUMNS('CF FY21'!$A:$D),FALSE),0)</f>
        <v>563</v>
      </c>
      <c r="E12" s="92">
        <f>IFERROR(VLOOKUP($B12,'CF FY23'!A:J,COLUMNS('CF FY23'!$A:$J),FALSE),0)</f>
        <v>921</v>
      </c>
      <c r="F12" s="92">
        <f>IFERROR(VLOOKUP($B12,'CF FY23'!$A:$J,COLUMNS('CF FY23'!$A:$D),FALSE),0)</f>
        <v>557</v>
      </c>
      <c r="G12" s="93">
        <f>IFERROR(VLOOKUP($B12,'CF Q1-24'!$A:$J,COLUMNS('CF Q1-24'!$A:$D),FALSE),0)</f>
        <v>98</v>
      </c>
      <c r="H12" s="94">
        <f>IFERROR(VLOOKUP($B12,'CF Q2-24'!$A:$J,COLUMNS('CF Q2-24'!$A:$F),FALSE),0)</f>
        <v>138</v>
      </c>
      <c r="I12" s="64">
        <f>IFERROR(VLOOKUP($B12,'CF Q3-24'!$A:$J,COLUMNS('CF Q3-24'!$A:$F),FALSE),0)</f>
        <v>127</v>
      </c>
    </row>
    <row r="13" spans="2:26" x14ac:dyDescent="0.25">
      <c r="B13" t="s">
        <v>157</v>
      </c>
      <c r="C13" s="92">
        <f>IFERROR(VLOOKUP($B13,'CF FY21'!$A:$J,COLUMNS('CF FY21'!$A:$G),FALSE),0)</f>
        <v>0</v>
      </c>
      <c r="D13" s="92">
        <f>IFERROR(VLOOKUP($B13,'CF FY21'!$A:$J,COLUMNS('CF FY21'!$A:$D),FALSE),0)</f>
        <v>0</v>
      </c>
      <c r="E13" s="92">
        <f>IFERROR(VLOOKUP($B13,'CF FY23'!A:J,COLUMNS('CF FY23'!$A:$J),FALSE),0)</f>
        <v>-10132</v>
      </c>
      <c r="F13" s="92">
        <v>0</v>
      </c>
      <c r="G13" s="93">
        <f>IFERROR(VLOOKUP($B13,'CF Q1-24'!$A:$J,COLUMNS('CF Q1-24'!$A:$D),FALSE),0)</f>
        <v>0</v>
      </c>
      <c r="H13" s="94">
        <f>IFERROR(VLOOKUP($B13,'CF Q2-24'!$A:$J,COLUMNS('CF Q2-24'!$A:$F),FALSE),0)</f>
        <v>0</v>
      </c>
      <c r="I13" s="64">
        <f>IFERROR(VLOOKUP($B13,'CF Q3-24'!$A:$J,COLUMNS('CF Q3-24'!$A:$F),FALSE),0)</f>
        <v>0</v>
      </c>
    </row>
    <row r="14" spans="2:26" x14ac:dyDescent="0.25">
      <c r="B14" t="s">
        <v>159</v>
      </c>
      <c r="C14" s="92">
        <v>0</v>
      </c>
      <c r="D14" s="92">
        <f>IFERROR(VLOOKUP($B14,'CF FY21'!$A:$J,COLUMNS('CF FY21'!$A:$D),FALSE),0)</f>
        <v>30091</v>
      </c>
      <c r="E14" s="92">
        <v>0</v>
      </c>
      <c r="F14" s="92">
        <v>0</v>
      </c>
      <c r="G14" s="93">
        <f>IFERROR(VLOOKUP($B14,'CF Q1-24'!$A:$J,COLUMNS('CF Q1-24'!$A:$D),FALSE),0)</f>
        <v>0</v>
      </c>
      <c r="H14" s="94">
        <f>IFERROR(VLOOKUP($B14,'CF Q2-24'!$A:$J,COLUMNS('CF Q2-24'!$A:$F),FALSE),0)</f>
        <v>0</v>
      </c>
      <c r="I14" s="64">
        <f>IFERROR(VLOOKUP($B14,'CF Q3-24'!$A:$J,COLUMNS('CF Q3-24'!$A:$F),FALSE),0)</f>
        <v>0</v>
      </c>
    </row>
    <row r="15" spans="2:26" x14ac:dyDescent="0.25">
      <c r="B15" t="s">
        <v>160</v>
      </c>
      <c r="C15" s="92">
        <v>0</v>
      </c>
      <c r="D15" s="92">
        <f>IFERROR(VLOOKUP($B15,'CF FY21'!$A:$J,COLUMNS('CF FY21'!$A:$D),FALSE),0)</f>
        <v>16335</v>
      </c>
      <c r="E15" s="92">
        <v>0</v>
      </c>
      <c r="F15" s="92">
        <v>0</v>
      </c>
      <c r="G15" s="93">
        <f>IFERROR(VLOOKUP($B15,'CF Q1-24'!$A:$J,COLUMNS('CF Q1-24'!$A:$D),FALSE),0)</f>
        <v>0</v>
      </c>
      <c r="H15" s="94">
        <f>IFERROR(VLOOKUP($B15,'CF Q2-24'!$A:$J,COLUMNS('CF Q2-24'!$A:$F),FALSE),0)</f>
        <v>0</v>
      </c>
      <c r="I15" s="64">
        <f>IFERROR(VLOOKUP($B15,'CF Q3-24'!$A:$J,COLUMNS('CF Q3-24'!$A:$F),FALSE),0)</f>
        <v>0</v>
      </c>
    </row>
    <row r="16" spans="2:26" x14ac:dyDescent="0.25">
      <c r="B16" t="s">
        <v>116</v>
      </c>
      <c r="C16" s="92">
        <f>IFERROR(VLOOKUP($B16,'CF FY21'!$A:$J,COLUMNS('CF FY21'!$A:$G),FALSE),0)</f>
        <v>0</v>
      </c>
      <c r="D16" s="92">
        <f>IFERROR(VLOOKUP($B16,'CF FY21'!$A:$J,COLUMNS('CF FY21'!$A:$D),FALSE),0)</f>
        <v>0</v>
      </c>
      <c r="E16" s="92">
        <f>IFERROR(VLOOKUP($B16,'CF FY23'!A:J,COLUMNS('CF FY23'!$A:$J),FALSE),0)</f>
        <v>-879</v>
      </c>
      <c r="F16" s="92">
        <f>IFERROR(VLOOKUP($B16,'CF FY23'!$A:$J,COLUMNS('CF FY23'!$A:$D),FALSE),0)</f>
        <v>104</v>
      </c>
      <c r="G16" s="93">
        <f>IFERROR(VLOOKUP($B16,'CF Q1-24'!$A:$J,COLUMNS('CF Q1-24'!$A:$D),FALSE),0)</f>
        <v>220</v>
      </c>
      <c r="H16" s="94">
        <f>IFERROR(VLOOKUP($B16,'CF Q2-24'!$A:$J,COLUMNS('CF Q2-24'!$A:$F),FALSE),0)</f>
        <v>221</v>
      </c>
      <c r="I16" s="64">
        <f>IFERROR(VLOOKUP($B16,'CF Q3-24'!$A:$J,COLUMNS('CF Q3-24'!$A:$F),FALSE),0)</f>
        <v>220</v>
      </c>
    </row>
    <row r="17" spans="2:9" x14ac:dyDescent="0.25">
      <c r="B17" t="s">
        <v>117</v>
      </c>
      <c r="C17" s="92">
        <f>IFERROR(VLOOKUP($B17,'CF FY21'!$A:$J,COLUMNS('CF FY21'!$A:$G),FALSE),0)</f>
        <v>11008</v>
      </c>
      <c r="D17" s="92">
        <f>IFERROR(VLOOKUP($B17,'CF FY21'!$A:$J,COLUMNS('CF FY21'!$A:$D),FALSE),0)</f>
        <v>8181</v>
      </c>
      <c r="E17" s="92">
        <f>IFERROR(VLOOKUP($B17,'CF FY23'!A:J,COLUMNS('CF FY23'!$A:$J),FALSE),0)</f>
        <v>9806</v>
      </c>
      <c r="F17" s="92">
        <f>IFERROR(VLOOKUP($B17,'CF FY23'!$A:$J,COLUMNS('CF FY23'!$A:$D),FALSE),0)</f>
        <v>10275</v>
      </c>
      <c r="G17" s="93">
        <f>IFERROR(VLOOKUP($B17,'CF Q1-24'!$A:$J,COLUMNS('CF Q1-24'!$A:$D),FALSE),0)</f>
        <v>90</v>
      </c>
      <c r="H17" s="94">
        <f>IFERROR(VLOOKUP($B17,'CF Q2-24'!$A:$J,COLUMNS('CF Q2-24'!$A:$F),FALSE),0)</f>
        <v>2264</v>
      </c>
      <c r="I17" s="64">
        <f>IFERROR(VLOOKUP($B17,'CF Q3-24'!$A:$J,COLUMNS('CF Q3-24'!$A:$F),FALSE),0)</f>
        <v>2826</v>
      </c>
    </row>
    <row r="18" spans="2:9" x14ac:dyDescent="0.25">
      <c r="B18" t="s">
        <v>73</v>
      </c>
      <c r="C18" s="92">
        <f>IFERROR(VLOOKUP($B18,'CF FY21'!$A:$J,COLUMNS('CF FY21'!$A:$G),FALSE),0)</f>
        <v>7719</v>
      </c>
      <c r="D18" s="92">
        <f>IFERROR(VLOOKUP($B18,'CF FY21'!$A:$J,COLUMNS('CF FY21'!$A:$D),FALSE),0)</f>
        <v>-13611</v>
      </c>
      <c r="E18" s="92">
        <f>IFERROR(VLOOKUP($B18,'CF FY23'!A:J,COLUMNS('CF FY23'!$A:$J),FALSE),0)</f>
        <v>10761</v>
      </c>
      <c r="F18" s="92">
        <f>IFERROR(VLOOKUP($B18,'CF FY23'!$A:$J,COLUMNS('CF FY23'!$A:$D),FALSE),0)</f>
        <v>6697</v>
      </c>
      <c r="G18" s="93">
        <f>IFERROR(VLOOKUP($B18,'CF Q1-24'!$A:$J,COLUMNS('CF Q1-24'!$A:$D),FALSE),0)</f>
        <v>0</v>
      </c>
      <c r="H18" s="94">
        <f>IFERROR(VLOOKUP($B18,'CF Q2-24'!$A:$J,COLUMNS('CF Q2-24'!$A:$F),FALSE),0)</f>
        <v>0</v>
      </c>
      <c r="I18" s="64">
        <f>IFERROR(VLOOKUP($B18,'CF Q3-24'!$A:$J,COLUMNS('CF Q3-24'!$A:$F),FALSE),0)</f>
        <v>-1072</v>
      </c>
    </row>
    <row r="19" spans="2:9" x14ac:dyDescent="0.25">
      <c r="B19" t="s">
        <v>118</v>
      </c>
      <c r="C19" s="92">
        <f>IFERROR(VLOOKUP($B19,'CF FY21'!$A:$J,COLUMNS('CF FY21'!$A:$G),FALSE),0)</f>
        <v>0</v>
      </c>
      <c r="D19" s="92">
        <f>IFERROR(VLOOKUP($B19,'CF FY21'!$A:$J,COLUMNS('CF FY21'!$A:$D),FALSE),0)</f>
        <v>0</v>
      </c>
      <c r="E19" s="92">
        <f>IFERROR(VLOOKUP($B19,'CF FY23'!A:J,COLUMNS('CF FY23'!$A:$J),FALSE),0)</f>
        <v>0</v>
      </c>
      <c r="F19" s="92">
        <f>IFERROR(VLOOKUP($B19,'CF FY23'!$A:$J,COLUMNS('CF FY23'!$A:$D),FALSE),0)</f>
        <v>0</v>
      </c>
      <c r="G19" s="93">
        <f>IFERROR(VLOOKUP($B19,'CF Q1-24'!$A:$J,COLUMNS('CF Q1-24'!$A:$D),FALSE),0)</f>
        <v>0</v>
      </c>
      <c r="H19" s="94">
        <f>IFERROR(VLOOKUP($B19,'CF Q2-24'!$A:$J,COLUMNS('CF Q2-24'!$A:$F),FALSE),0)</f>
        <v>-6298</v>
      </c>
      <c r="I19" s="64">
        <f>IFERROR(VLOOKUP($B19,'CF Q3-24'!$A:$J,COLUMNS('CF Q3-24'!$A:$F),FALSE),0)</f>
        <v>-10863</v>
      </c>
    </row>
    <row r="20" spans="2:9" x14ac:dyDescent="0.25">
      <c r="B20" t="s">
        <v>180</v>
      </c>
      <c r="C20" s="92">
        <f>IFERROR(VLOOKUP($B20,'CF FY21'!$A:$J,COLUMNS('CF FY21'!$A:$G),FALSE),0)</f>
        <v>0</v>
      </c>
      <c r="D20" s="92">
        <f>IFERROR(VLOOKUP($B20,'CF FY21'!$A:$J,COLUMNS('CF FY21'!$A:$D),FALSE),0)</f>
        <v>0</v>
      </c>
      <c r="E20" s="92">
        <f>IFERROR(VLOOKUP($B20,'CF FY23'!A:J,COLUMNS('CF FY23'!$A:$J),FALSE),0)</f>
        <v>0</v>
      </c>
      <c r="F20" s="92">
        <f>IFERROR(VLOOKUP($B20,'CF FY23'!$A:$J,COLUMNS('CF FY23'!$A:$D),FALSE),0)</f>
        <v>0</v>
      </c>
      <c r="G20" s="93">
        <f>IFERROR(VLOOKUP($B20,'CF Q1-24'!$A:$J,COLUMNS('CF Q1-24'!$A:$D),FALSE),0)</f>
        <v>0</v>
      </c>
      <c r="H20" s="94">
        <f>IFERROR(VLOOKUP($B20,'CF Q2-24'!$A:$J,COLUMNS('CF Q2-24'!$A:$F),FALSE),0)</f>
        <v>0</v>
      </c>
      <c r="I20" s="64">
        <f>IFERROR(VLOOKUP($B20,'CF Q3-24'!$A:$J,COLUMNS('CF Q3-24'!$A:$F),FALSE),0)</f>
        <v>0</v>
      </c>
    </row>
    <row r="21" spans="2:9" x14ac:dyDescent="0.25">
      <c r="B21" t="s">
        <v>120</v>
      </c>
      <c r="C21" s="92">
        <f>IFERROR(VLOOKUP($B21,'CF FY21'!$A:$J,COLUMNS('CF FY21'!$A:$G),FALSE),0)</f>
        <v>36772</v>
      </c>
      <c r="D21" s="92">
        <f>IFERROR(VLOOKUP($B21,'CF FY21'!$A:$J,COLUMNS('CF FY21'!$A:$D),FALSE),0)</f>
        <v>-73041</v>
      </c>
      <c r="E21" s="92">
        <f>IFERROR(VLOOKUP($B21,'CF FY23'!A:J,COLUMNS('CF FY23'!$A:$J),FALSE),0)</f>
        <v>-123571</v>
      </c>
      <c r="F21" s="92">
        <f>IFERROR(VLOOKUP($B21,'CF FY23'!$A:$J,COLUMNS('CF FY23'!$A:$D),FALSE),0)</f>
        <v>247653</v>
      </c>
      <c r="G21" s="93">
        <f>IFERROR(VLOOKUP($B21,'CF Q1-24'!$A:$J,COLUMNS('CF Q1-24'!$A:$D),FALSE),0)</f>
        <v>21170</v>
      </c>
      <c r="H21" s="94">
        <f>IFERROR(VLOOKUP($B21,'CF Q2-24'!$A:$J,COLUMNS('CF Q2-24'!$A:$F),FALSE),0)</f>
        <v>-14702</v>
      </c>
      <c r="I21" s="64">
        <f>IFERROR(VLOOKUP($B21,'CF Q3-24'!$A:$J,COLUMNS('CF Q3-24'!$A:$F),FALSE),0)</f>
        <v>6118</v>
      </c>
    </row>
    <row r="22" spans="2:9" x14ac:dyDescent="0.25">
      <c r="B22" t="s">
        <v>55</v>
      </c>
      <c r="C22" s="92">
        <f>IFERROR(VLOOKUP($B22,'CF FY21'!$A:$J,COLUMNS('CF FY21'!$A:$G),FALSE),0)</f>
        <v>16462</v>
      </c>
      <c r="D22" s="92">
        <f>IFERROR(VLOOKUP($B22,'CF FY21'!$A:$J,COLUMNS('CF FY21'!$A:$D),FALSE),0)</f>
        <v>-107037</v>
      </c>
      <c r="E22" s="92">
        <f>IFERROR(VLOOKUP($B22,'CF FY23'!A:J,COLUMNS('CF FY23'!$A:$J),FALSE),0)</f>
        <v>-81494</v>
      </c>
      <c r="F22" s="92">
        <f>IFERROR(VLOOKUP($B22,'CF FY23'!$A:$J,COLUMNS('CF FY23'!$A:$D),FALSE),0)</f>
        <v>-4860</v>
      </c>
      <c r="G22" s="93">
        <f>IFERROR(VLOOKUP($B22,'CF Q1-24'!$A:$J,COLUMNS('CF Q1-24'!$A:$D),FALSE),0)</f>
        <v>17218</v>
      </c>
      <c r="H22" s="94">
        <f>IFERROR(VLOOKUP($B22,'CF Q2-24'!$A:$J,COLUMNS('CF Q2-24'!$A:$F),FALSE),0)</f>
        <v>27258</v>
      </c>
      <c r="I22" s="64">
        <f>IFERROR(VLOOKUP($B22,'CF Q3-24'!$A:$J,COLUMNS('CF Q3-24'!$A:$F),FALSE),0)</f>
        <v>19775</v>
      </c>
    </row>
    <row r="23" spans="2:9" x14ac:dyDescent="0.25">
      <c r="B23" t="s">
        <v>56</v>
      </c>
      <c r="C23" s="92">
        <f>IFERROR(VLOOKUP($B23,'CF FY21'!$A:$J,COLUMNS('CF FY21'!$A:$G),FALSE),0)</f>
        <v>-11540</v>
      </c>
      <c r="D23" s="92">
        <f>IFERROR(VLOOKUP($B23,'CF FY21'!$A:$J,COLUMNS('CF FY21'!$A:$D),FALSE),0)</f>
        <v>-10141</v>
      </c>
      <c r="E23" s="92">
        <f>IFERROR(VLOOKUP($B23,'CF FY23'!A:J,COLUMNS('CF FY23'!$A:$J),FALSE),0)</f>
        <v>-7429</v>
      </c>
      <c r="F23" s="92">
        <f>IFERROR(VLOOKUP($B23,'CF FY23'!$A:$J,COLUMNS('CF FY23'!$A:$D),FALSE),0)</f>
        <v>-6918</v>
      </c>
      <c r="G23" s="93">
        <f>IFERROR(VLOOKUP($B23,'CF Q1-24'!$A:$J,COLUMNS('CF Q1-24'!$A:$D),FALSE),0)</f>
        <v>-16036</v>
      </c>
      <c r="H23" s="94">
        <f>IFERROR(VLOOKUP($B23,'CF Q2-24'!$A:$J,COLUMNS('CF Q2-24'!$A:$F),FALSE),0)</f>
        <v>-6678</v>
      </c>
      <c r="I23" s="64">
        <f>IFERROR(VLOOKUP($B23,'CF Q3-24'!$A:$J,COLUMNS('CF Q3-24'!$A:$F),FALSE),0)</f>
        <v>27202</v>
      </c>
    </row>
    <row r="24" spans="2:9" x14ac:dyDescent="0.25">
      <c r="B24" t="s">
        <v>121</v>
      </c>
      <c r="C24" s="92">
        <f>IFERROR(VLOOKUP($B24,'CF FY21'!$A:$J,COLUMNS('CF FY21'!$A:$G),FALSE),0)</f>
        <v>-22184</v>
      </c>
      <c r="D24" s="92">
        <f>IFERROR(VLOOKUP($B24,'CF FY21'!$A:$J,COLUMNS('CF FY21'!$A:$D),FALSE),0)</f>
        <v>-33312</v>
      </c>
      <c r="E24" s="92">
        <f>IFERROR(VLOOKUP($B24,'CF FY23'!A:J,COLUMNS('CF FY23'!$A:$J),FALSE),0)</f>
        <v>-17147</v>
      </c>
      <c r="F24" s="92">
        <f>IFERROR(VLOOKUP($B24,'CF FY23'!$A:$J,COLUMNS('CF FY23'!$A:$D),FALSE),0)</f>
        <v>-21173</v>
      </c>
      <c r="G24" s="93">
        <f>IFERROR(VLOOKUP($B24,'CF Q1-24'!$A:$J,COLUMNS('CF Q1-24'!$A:$D),FALSE),0)</f>
        <v>-5717</v>
      </c>
      <c r="H24" s="94">
        <f>IFERROR(VLOOKUP($B24,'CF Q2-24'!$A:$J,COLUMNS('CF Q2-24'!$A:$F),FALSE),0)</f>
        <v>-5517</v>
      </c>
      <c r="I24" s="64">
        <f>IFERROR(VLOOKUP($B24,'CF Q3-24'!$A:$J,COLUMNS('CF Q3-24'!$A:$F),FALSE),0)</f>
        <v>-5740</v>
      </c>
    </row>
    <row r="25" spans="2:9" x14ac:dyDescent="0.25">
      <c r="B25" t="s">
        <v>62</v>
      </c>
      <c r="C25" s="92">
        <f>IFERROR(VLOOKUP($B25,'CF FY21'!$A:$J,COLUMNS('CF FY21'!$A:$G),FALSE),0)</f>
        <v>2809</v>
      </c>
      <c r="D25" s="92">
        <f>IFERROR(VLOOKUP($B25,'CF FY21'!$A:$J,COLUMNS('CF FY21'!$A:$D),FALSE),0)</f>
        <v>-1055</v>
      </c>
      <c r="E25" s="92">
        <f>IFERROR(VLOOKUP($B25,'CF FY23'!A:J,COLUMNS('CF FY23'!$A:$J),FALSE),0)</f>
        <v>-2258</v>
      </c>
      <c r="F25" s="92">
        <f>IFERROR(VLOOKUP($B25,'CF FY23'!$A:$J,COLUMNS('CF FY23'!$A:$D),FALSE),0)</f>
        <v>-615</v>
      </c>
      <c r="G25" s="93">
        <f>IFERROR(VLOOKUP($B25,'CF Q1-24'!$A:$J,COLUMNS('CF Q1-24'!$A:$D),FALSE),0)</f>
        <v>-2132</v>
      </c>
      <c r="H25" s="94">
        <f>IFERROR(VLOOKUP($B25,'CF Q2-24'!$A:$J,COLUMNS('CF Q2-24'!$A:$F),FALSE),0)</f>
        <v>4945</v>
      </c>
      <c r="I25" s="64">
        <f>IFERROR(VLOOKUP($B25,'CF Q3-24'!$A:$J,COLUMNS('CF Q3-24'!$A:$F),FALSE),0)</f>
        <v>459</v>
      </c>
    </row>
    <row r="26" spans="2:9" x14ac:dyDescent="0.25">
      <c r="B26" t="s">
        <v>122</v>
      </c>
      <c r="C26" s="92">
        <f>IFERROR(VLOOKUP($B26,'CF FY21'!$A:$J,COLUMNS('CF FY21'!$A:$G),FALSE),0)</f>
        <v>-5574</v>
      </c>
      <c r="D26" s="92">
        <f>IFERROR(VLOOKUP($B26,'CF FY21'!$A:$J,COLUMNS('CF FY21'!$A:$D),FALSE),0)</f>
        <v>84407</v>
      </c>
      <c r="E26" s="92">
        <f>IFERROR(VLOOKUP($B26,'CF FY23'!A:J,COLUMNS('CF FY23'!$A:$J),FALSE),0)</f>
        <v>20293</v>
      </c>
      <c r="F26" s="92">
        <f>IFERROR(VLOOKUP($B26,'CF FY23'!$A:$J,COLUMNS('CF FY23'!$A:$D),FALSE),0)</f>
        <v>10021</v>
      </c>
      <c r="G26" s="93">
        <f>IFERROR(VLOOKUP($B26,'CF Q1-24'!$A:$J,COLUMNS('CF Q1-24'!$A:$D),FALSE),0)</f>
        <v>-33413</v>
      </c>
      <c r="H26" s="94">
        <f>IFERROR(VLOOKUP($B26,'CF Q2-24'!$A:$J,COLUMNS('CF Q2-24'!$A:$F),FALSE),0)</f>
        <v>-15895</v>
      </c>
      <c r="I26" s="64">
        <f>IFERROR(VLOOKUP($B26,'CF Q3-24'!$A:$J,COLUMNS('CF Q3-24'!$A:$F),FALSE),0)</f>
        <v>3391</v>
      </c>
    </row>
    <row r="27" spans="2:9" x14ac:dyDescent="0.25">
      <c r="B27" t="s">
        <v>123</v>
      </c>
      <c r="C27" s="92">
        <f>IFERROR(VLOOKUP($B27,'CF FY21'!$A:$J,COLUMNS('CF FY21'!$A:$G),FALSE),0)</f>
        <v>144981</v>
      </c>
      <c r="D27" s="92">
        <f>IFERROR(VLOOKUP($B27,'CF FY21'!$A:$J,COLUMNS('CF FY21'!$A:$D),FALSE),0)</f>
        <v>6525</v>
      </c>
      <c r="E27" s="92">
        <f>IFERROR(VLOOKUP($B27,'CF FY23'!A:J,COLUMNS('CF FY23'!$A:$J),FALSE),0)</f>
        <v>-94299</v>
      </c>
      <c r="F27" s="92">
        <f>IFERROR(VLOOKUP($B27,'CF FY23'!$A:$J,COLUMNS('CF FY23'!$A:$D),FALSE),0)</f>
        <v>356475</v>
      </c>
      <c r="G27" s="93">
        <f>IFERROR(VLOOKUP($B27,'CF Q1-24'!$A:$J,COLUMNS('CF Q1-24'!$A:$D),FALSE),0)</f>
        <v>12040</v>
      </c>
      <c r="H27" s="94">
        <f>IFERROR(VLOOKUP($B27,'CF Q2-24'!$A:$J,COLUMNS('CF Q2-24'!$A:$F),FALSE),0)</f>
        <v>17178</v>
      </c>
      <c r="I27" s="64">
        <f>IFERROR(VLOOKUP($B27,'CF Q3-24'!$A:$J,COLUMNS('CF Q3-24'!$A:$F),FALSE),0)</f>
        <v>72210</v>
      </c>
    </row>
    <row r="28" spans="2:9" x14ac:dyDescent="0.25">
      <c r="B28" s="4" t="s">
        <v>124</v>
      </c>
      <c r="C28" s="95">
        <f>IFERROR(VLOOKUP($B28,'CF FY21'!$A:$J,COLUMNS('CF FY21'!$A:$G),FALSE),0)</f>
        <v>396739</v>
      </c>
      <c r="D28" s="95">
        <f>IFERROR(VLOOKUP($B28,'CF FY21'!$A:$J,COLUMNS('CF FY21'!$A:$D),FALSE),0)</f>
        <v>224462</v>
      </c>
      <c r="E28" s="95">
        <f>IFERROR(VLOOKUP($B28,'CF FY23'!A:J,COLUMNS('CF FY23'!$A:$J),FALSE),0)</f>
        <v>246183</v>
      </c>
      <c r="F28" s="95">
        <f>IFERROR(VLOOKUP($B28,'CF FY23'!$A:$J,COLUMNS('CF FY23'!$A:$D),FALSE),0)</f>
        <v>699582</v>
      </c>
      <c r="G28" s="96">
        <f>IFERROR(VLOOKUP($B28,'CF Q1-24'!$A:$J,COLUMNS('CF Q1-24'!$A:$D),FALSE),0)</f>
        <v>81168</v>
      </c>
      <c r="H28" s="97">
        <f>IFERROR(VLOOKUP($B28,'CF Q2-24'!$A:$J,COLUMNS('CF Q2-24'!$A:$F),FALSE),0)</f>
        <v>78743</v>
      </c>
      <c r="I28" s="98">
        <f>IFERROR(VLOOKUP($B28,'CF Q3-24'!$A:$J,COLUMNS('CF Q3-24'!$A:$F),FALSE),0)</f>
        <v>143522</v>
      </c>
    </row>
    <row r="29" spans="2:9" x14ac:dyDescent="0.25">
      <c r="B29" s="4" t="s">
        <v>125</v>
      </c>
      <c r="G29" s="93"/>
      <c r="H29" s="94"/>
      <c r="I29" s="64"/>
    </row>
    <row r="30" spans="2:9" x14ac:dyDescent="0.25">
      <c r="B30" t="s">
        <v>126</v>
      </c>
      <c r="C30" s="92">
        <f>IFERROR(VLOOKUP($B30,'CF FY21'!$A:$J,COLUMNS('CF FY21'!$A:$G),FALSE),0)</f>
        <v>-46991</v>
      </c>
      <c r="D30" s="92">
        <f>IFERROR(VLOOKUP($B30,'CF FY21'!$A:$J,COLUMNS('CF FY21'!$A:$D),FALSE),0)</f>
        <v>-53746</v>
      </c>
      <c r="E30" s="92">
        <f>IFERROR(VLOOKUP($B30,'CF FY23'!A:J,COLUMNS('CF FY23'!$A:$J),FALSE),0)</f>
        <v>-61373</v>
      </c>
      <c r="F30" s="92">
        <f>IFERROR(VLOOKUP($B30,'CF FY23'!$A:$J,COLUMNS('CF FY23'!$A:$D),FALSE),0)</f>
        <v>-92493</v>
      </c>
      <c r="G30" s="93">
        <f>IFERROR(VLOOKUP($B30,'CF Q1-24'!$A:$J,COLUMNS('CF Q1-24'!$A:$D),FALSE),0)</f>
        <v>-18433</v>
      </c>
      <c r="H30" s="94">
        <f>IFERROR(VLOOKUP($B30,'CF Q2-24'!$A:$J,COLUMNS('CF Q2-24'!$A:$F),FALSE),0)</f>
        <v>-25350</v>
      </c>
      <c r="I30" s="64">
        <f>IFERROR(VLOOKUP($B30,'CF Q3-24'!$A:$J,COLUMNS('CF Q3-24'!$A:$F),FALSE),0)</f>
        <v>-29571</v>
      </c>
    </row>
    <row r="31" spans="2:9" x14ac:dyDescent="0.25">
      <c r="B31" t="s">
        <v>190</v>
      </c>
      <c r="C31" s="92">
        <v>0</v>
      </c>
      <c r="D31" s="92">
        <v>0</v>
      </c>
      <c r="E31" s="92">
        <f>IFERROR(VLOOKUP($B31,'CF FY23'!A:J,COLUMNS('CF FY23'!$A:$J),FALSE),0)</f>
        <v>0</v>
      </c>
      <c r="F31" s="92">
        <f>IFERROR(VLOOKUP($B31,'CF FY23'!$A:$J,COLUMNS('CF FY23'!$A:$D),FALSE),0)</f>
        <v>0</v>
      </c>
      <c r="G31" s="93">
        <f>IFERROR(VLOOKUP($B31,'CF Q1-24'!$A:$J,COLUMNS('CF Q1-24'!$A:$D),FALSE),0)</f>
        <v>0</v>
      </c>
      <c r="H31" s="94">
        <f>IFERROR(VLOOKUP($B31,'CF Q2-24'!$A:$J,COLUMNS('CF Q2-24'!$A:$F),FALSE),0)</f>
        <v>0</v>
      </c>
      <c r="I31" s="64">
        <f>IFERROR(VLOOKUP($B31,'CF Q3-24'!$A:$J,COLUMNS('CF Q3-24'!$A:$F),FALSE),0)</f>
        <v>0</v>
      </c>
    </row>
    <row r="32" spans="2:9" x14ac:dyDescent="0.25">
      <c r="B32" t="s">
        <v>148</v>
      </c>
      <c r="C32" s="92">
        <f>IFERROR(VLOOKUP($B32,'CF FY21'!$A:$J,COLUMNS('CF FY21'!$A:$G),FALSE),0)</f>
        <v>-2286</v>
      </c>
      <c r="D32" s="92">
        <f>IFERROR(VLOOKUP($B32,'CF FY21'!$A:$J,COLUMNS('CF FY21'!$A:$D),FALSE),0)</f>
        <v>-22000</v>
      </c>
      <c r="E32" s="92">
        <f>IFERROR(VLOOKUP($B32,'CF FY23'!A:J,COLUMNS('CF FY23'!$A:$J),FALSE),0)</f>
        <v>-57865</v>
      </c>
      <c r="F32" s="92">
        <f>IFERROR(VLOOKUP($B32,'CF FY23'!$A:$J,COLUMNS('CF FY23'!$A:$D),FALSE),0)</f>
        <v>-20182</v>
      </c>
      <c r="G32" s="93">
        <v>0</v>
      </c>
      <c r="H32" s="94">
        <f>IFERROR(VLOOKUP($B32,'CF Q2-24'!$A:$J,COLUMNS('CF Q2-24'!$A:$F),FALSE),0)</f>
        <v>-9868</v>
      </c>
      <c r="I32" s="64">
        <f>IFERROR(VLOOKUP($B32,'CF Q3-24'!$A:$J,COLUMNS('CF Q3-24'!$A:$F),FALSE),0)</f>
        <v>9</v>
      </c>
    </row>
    <row r="33" spans="2:9" x14ac:dyDescent="0.25">
      <c r="B33" t="s">
        <v>162</v>
      </c>
      <c r="C33" s="92">
        <f>IFERROR(VLOOKUP($B33,'CF FY21'!$A:$J,COLUMNS('CF FY21'!$A:$G),FALSE),0)</f>
        <v>0</v>
      </c>
      <c r="D33" s="92">
        <f>IFERROR(VLOOKUP($B33,'CF FY21'!$A:$J,COLUMNS('CF FY21'!$A:$D),FALSE),0)</f>
        <v>0</v>
      </c>
      <c r="E33" s="92">
        <f>IFERROR(VLOOKUP($B33,'CF FY23'!A:J,COLUMNS('CF FY23'!$A:$J),FALSE),0)</f>
        <v>24745</v>
      </c>
      <c r="F33" s="92">
        <v>0</v>
      </c>
      <c r="G33" s="93">
        <f>IFERROR(VLOOKUP($B33,'CF Q1-24'!$A:$J,COLUMNS('CF Q1-24'!$A:$D),FALSE),0)</f>
        <v>0</v>
      </c>
      <c r="H33" s="94">
        <f>IFERROR(VLOOKUP($B33,'CF Q2-24'!$A:$J,COLUMNS('CF Q2-24'!$A:$F),FALSE),0)</f>
        <v>0</v>
      </c>
      <c r="I33" s="64">
        <f>IFERROR(VLOOKUP($B33,'CF Q3-24'!$A:$J,COLUMNS('CF Q3-24'!$A:$F),FALSE),0)</f>
        <v>0</v>
      </c>
    </row>
    <row r="34" spans="2:9" x14ac:dyDescent="0.25">
      <c r="B34" s="4" t="s">
        <v>127</v>
      </c>
      <c r="C34" s="95">
        <f>IFERROR(VLOOKUP($B34,'CF FY21'!$A:$J,COLUMNS('CF FY21'!$A:$G),FALSE),0)</f>
        <v>-49277</v>
      </c>
      <c r="D34" s="95">
        <f>IFERROR(VLOOKUP($B34,'CF FY21'!$A:$J,COLUMNS('CF FY21'!$A:$D),FALSE),0)</f>
        <v>-75746</v>
      </c>
      <c r="E34" s="95">
        <f>IFERROR(VLOOKUP($B34,'CF FY23'!A:J,COLUMNS('CF FY23'!$A:$J),FALSE),0)</f>
        <v>-94493</v>
      </c>
      <c r="F34" s="95">
        <f>IFERROR(VLOOKUP($B34,'CF FY23'!$A:$J,COLUMNS('CF FY23'!$A:$D),FALSE),0)</f>
        <v>-112675</v>
      </c>
      <c r="G34" s="96">
        <f>IFERROR(VLOOKUP($B34,'CF Q1-24'!$A:$J,COLUMNS('CF Q1-24'!$A:$D),FALSE),0)</f>
        <v>-18433</v>
      </c>
      <c r="H34" s="97">
        <f>IFERROR(VLOOKUP($B34,'CF Q2-24'!$A:$J,COLUMNS('CF Q2-24'!$A:$F),FALSE),0)</f>
        <v>-35218</v>
      </c>
      <c r="I34" s="98">
        <f>IFERROR(VLOOKUP($B34,'CF Q3-24'!$A:$J,COLUMNS('CF Q3-24'!$A:$F),FALSE),0)</f>
        <v>-29562</v>
      </c>
    </row>
    <row r="35" spans="2:9" x14ac:dyDescent="0.25">
      <c r="B35" s="4" t="s">
        <v>128</v>
      </c>
      <c r="C35" s="158"/>
      <c r="D35" s="158"/>
      <c r="E35" s="158"/>
      <c r="F35" s="158"/>
      <c r="G35" s="159"/>
      <c r="H35" s="120"/>
      <c r="I35" s="160"/>
    </row>
    <row r="36" spans="2:9" x14ac:dyDescent="0.25">
      <c r="B36" t="s">
        <v>181</v>
      </c>
      <c r="C36" s="92">
        <f>IFERROR(VLOOKUP($B36,'CF FY21'!$A:$J,COLUMNS('CF FY21'!$A:$G),FALSE),0)</f>
        <v>-3444</v>
      </c>
      <c r="D36" s="92">
        <f>IFERROR(VLOOKUP($B36,'CF FY21'!$A:$J,COLUMNS('CF FY21'!$A:$D),FALSE),0)</f>
        <v>-71261</v>
      </c>
      <c r="E36" s="92">
        <f>IFERROR(VLOOKUP($B36,'CF FY23'!A:J,COLUMNS('CF FY23'!$A:$J),FALSE),0)</f>
        <v>-27359</v>
      </c>
      <c r="F36" s="92">
        <f>IFERROR(VLOOKUP($B36,'CF FY23'!$A:$J,COLUMNS('CF FY23'!$A:$D),FALSE),0)</f>
        <v>-95779</v>
      </c>
      <c r="G36" s="93">
        <f>IFERROR(VLOOKUP($B36,'CF Q1-24'!$A:$J,COLUMNS('CF Q1-24'!$A:$D),FALSE),0)</f>
        <v>-132045</v>
      </c>
      <c r="H36" s="94">
        <f>IFERROR(VLOOKUP($B36,'CF Q2-24'!$A:$J,COLUMNS('CF Q2-24'!$A:$F),FALSE),0)</f>
        <v>-16632</v>
      </c>
      <c r="I36" s="64">
        <f>IFERROR(VLOOKUP($B36,'CF Q3-24'!$A:$J,COLUMNS('CF Q3-24'!$A:$F),FALSE),0)</f>
        <v>-18489</v>
      </c>
    </row>
    <row r="37" spans="2:9" x14ac:dyDescent="0.25">
      <c r="B37" t="s">
        <v>129</v>
      </c>
      <c r="C37" s="92">
        <f>IFERROR(VLOOKUP($B37,'CF FY21'!$A:$J,COLUMNS('CF FY21'!$A:$G),FALSE),0)</f>
        <v>-166537</v>
      </c>
      <c r="D37" s="92">
        <f>IFERROR(VLOOKUP($B37,'CF FY21'!$A:$J,COLUMNS('CF FY21'!$A:$D),FALSE),0)</f>
        <v>-167299</v>
      </c>
      <c r="E37" s="92">
        <f>IFERROR(VLOOKUP($B37,'CF FY23'!A:J,COLUMNS('CF FY23'!$A:$J),FALSE),0)</f>
        <v>-167376</v>
      </c>
      <c r="F37" s="92">
        <f>IFERROR(VLOOKUP($B37,'CF FY23'!$A:$J,COLUMNS('CF FY23'!$A:$D),FALSE),0)</f>
        <v>-176715</v>
      </c>
      <c r="G37" s="93">
        <f>IFERROR(VLOOKUP($B37,'CF Q1-24'!$A:$J,COLUMNS('CF Q1-24'!$A:$D),FALSE),0)</f>
        <v>-47192</v>
      </c>
      <c r="H37" s="94">
        <f>IFERROR(VLOOKUP($B37,'CF Q2-24'!$A:$J,COLUMNS('CF Q2-24'!$A:$F),FALSE),0)</f>
        <v>-46772</v>
      </c>
      <c r="I37" s="64">
        <f>IFERROR(VLOOKUP($B37,'CF Q3-24'!$A:$J,COLUMNS('CF Q3-24'!$A:$F),FALSE),0)</f>
        <v>-46731</v>
      </c>
    </row>
    <row r="38" spans="2:9" x14ac:dyDescent="0.25">
      <c r="B38" t="s">
        <v>163</v>
      </c>
      <c r="C38" s="92">
        <f>IFERROR(VLOOKUP($B38,'CF FY21'!$A:$J,COLUMNS('CF FY21'!$A:$G),FALSE),0)</f>
        <v>-277634</v>
      </c>
      <c r="D38" s="92">
        <f>IFERROR(VLOOKUP($B38,'CF FY21'!$A:$J,COLUMNS('CF FY21'!$A:$D),FALSE),0)</f>
        <v>-195351</v>
      </c>
      <c r="E38" s="92">
        <v>0</v>
      </c>
      <c r="F38" s="92">
        <v>0</v>
      </c>
      <c r="G38" s="93">
        <v>0</v>
      </c>
      <c r="H38" s="94">
        <v>0</v>
      </c>
      <c r="I38" s="64">
        <v>0</v>
      </c>
    </row>
    <row r="39" spans="2:9" x14ac:dyDescent="0.25">
      <c r="B39" t="s">
        <v>182</v>
      </c>
      <c r="C39" s="92">
        <f>IFERROR(VLOOKUP($B39,'CF FY21'!$A:$J,COLUMNS('CF FY21'!$A:$G),FALSE),0)</f>
        <v>4140</v>
      </c>
      <c r="D39" s="92">
        <f>IFERROR(VLOOKUP($B39,'CF FY21'!$A:$J,COLUMNS('CF FY21'!$A:$D),FALSE),0)</f>
        <v>4136</v>
      </c>
      <c r="E39" s="92">
        <f>IFERROR(VLOOKUP($B39,'CF FY23'!A:J,COLUMNS('CF FY23'!$A:$J),FALSE),0)</f>
        <v>4296</v>
      </c>
      <c r="F39" s="92">
        <f>IFERROR(VLOOKUP($B39,'CF FY23'!$A:$J,COLUMNS('CF FY23'!$A:$D),FALSE),0)</f>
        <v>4415</v>
      </c>
      <c r="G39" s="93">
        <f>IFERROR(VLOOKUP($B39,'CF Q1-24'!$A:$J,COLUMNS('CF Q1-24'!$A:$D),FALSE),0)</f>
        <v>1144</v>
      </c>
      <c r="H39" s="94">
        <f>IFERROR(VLOOKUP($B39,'CF Q2-24'!$A:$J,COLUMNS('CF Q2-24'!$A:$F),FALSE),0)</f>
        <v>1183</v>
      </c>
      <c r="I39" s="64">
        <f>IFERROR(VLOOKUP($B39,'CF Q3-24'!$A:$J,COLUMNS('CF Q3-24'!$A:$F),FALSE),0)</f>
        <v>1138</v>
      </c>
    </row>
    <row r="40" spans="2:9" x14ac:dyDescent="0.25">
      <c r="B40" t="s">
        <v>183</v>
      </c>
      <c r="C40" s="92">
        <f>IFERROR(VLOOKUP($B40,'CF FY21'!$A:$J,COLUMNS('CF FY21'!$A:$G),FALSE),0)</f>
        <v>13687</v>
      </c>
      <c r="D40" s="92">
        <f>IFERROR(VLOOKUP($B40,'CF FY21'!$A:$J,COLUMNS('CF FY21'!$A:$D),FALSE),0)</f>
        <v>29667</v>
      </c>
      <c r="E40" s="92">
        <f>IFERROR(VLOOKUP($B40,'CF FY23'!A:J,COLUMNS('CF FY23'!$A:$J),FALSE),0)</f>
        <v>34659</v>
      </c>
      <c r="F40" s="92">
        <f>IFERROR(VLOOKUP($B40,'CF FY23'!$A:$J,COLUMNS('CF FY23'!$A:$D),FALSE),0)</f>
        <v>28677</v>
      </c>
      <c r="G40" s="93">
        <f>IFERROR(VLOOKUP($B40,'CF Q1-24'!$A:$J,COLUMNS('CF Q1-24'!$A:$D),FALSE),0)</f>
        <v>6852</v>
      </c>
      <c r="H40" s="94">
        <f>IFERROR(VLOOKUP($B40,'CF Q2-24'!$A:$J,COLUMNS('CF Q2-24'!$A:$F),FALSE),0)</f>
        <v>1399</v>
      </c>
      <c r="I40" s="64">
        <f>IFERROR(VLOOKUP($B40,'CF Q3-24'!$A:$J,COLUMNS('CF Q3-24'!$A:$F),FALSE),0)</f>
        <v>582</v>
      </c>
    </row>
    <row r="41" spans="2:9" x14ac:dyDescent="0.25">
      <c r="B41" t="s">
        <v>130</v>
      </c>
      <c r="C41" s="92">
        <f>IFERROR(VLOOKUP($B41,'CF FY21'!$A:$J,COLUMNS('CF FY21'!$A:$G),FALSE),0)</f>
        <v>1012200</v>
      </c>
      <c r="D41" s="92">
        <f>IFERROR(VLOOKUP($B41,'CF FY21'!$A:$J,COLUMNS('CF FY21'!$A:$D),FALSE),0)</f>
        <v>583500</v>
      </c>
      <c r="E41" s="92">
        <f>IFERROR(VLOOKUP($B41,'CF FY23'!A:J,COLUMNS('CF FY23'!$A:$J),FALSE),0)</f>
        <v>374000</v>
      </c>
      <c r="F41" s="92">
        <f>IFERROR(VLOOKUP($B41,'CF FY23'!$A:$J,COLUMNS('CF FY23'!$A:$D),FALSE),0)</f>
        <v>333000</v>
      </c>
      <c r="G41" s="93">
        <f>IFERROR(VLOOKUP($B41,'CF Q1-24'!$A:$J,COLUMNS('CF Q1-24'!$A:$D),FALSE),0)</f>
        <v>148000</v>
      </c>
      <c r="H41" s="94">
        <f>IFERROR(VLOOKUP($B41,'CF Q2-24'!$A:$J,COLUMNS('CF Q2-24'!$A:$F),FALSE),0)</f>
        <v>149000</v>
      </c>
      <c r="I41" s="64">
        <f>IFERROR(VLOOKUP($B41,'CF Q3-24'!$A:$J,COLUMNS('CF Q3-24'!$A:$F),FALSE),0)</f>
        <v>62000</v>
      </c>
    </row>
    <row r="42" spans="2:9" x14ac:dyDescent="0.25">
      <c r="B42" t="s">
        <v>131</v>
      </c>
      <c r="C42" s="92">
        <f>IFERROR(VLOOKUP($B42,'CF FY21'!$A:$J,COLUMNS('CF FY21'!$A:$G),FALSE),0)</f>
        <v>-916000</v>
      </c>
      <c r="D42" s="92">
        <f>IFERROR(VLOOKUP($B42,'CF FY21'!$A:$J,COLUMNS('CF FY21'!$A:$D),FALSE),0)</f>
        <v>-399200</v>
      </c>
      <c r="E42" s="92">
        <f>IFERROR(VLOOKUP($B42,'CF FY23'!A:J,COLUMNS('CF FY23'!$A:$J),FALSE),0)</f>
        <v>-364500</v>
      </c>
      <c r="F42" s="92">
        <f>IFERROR(VLOOKUP($B42,'CF FY23'!$A:$J,COLUMNS('CF FY23'!$A:$D),FALSE),0)</f>
        <v>-548000</v>
      </c>
      <c r="G42" s="93">
        <f>IFERROR(VLOOKUP($B42,'CF Q1-24'!$A:$J,COLUMNS('CF Q1-24'!$A:$D),FALSE),0)</f>
        <v>-65000</v>
      </c>
      <c r="H42" s="94">
        <f>IFERROR(VLOOKUP($B42,'CF Q2-24'!$A:$J,COLUMNS('CF Q2-24'!$A:$F),FALSE),0)</f>
        <v>-137000</v>
      </c>
      <c r="I42" s="64">
        <f>IFERROR(VLOOKUP($B42,'CF Q3-24'!$A:$J,COLUMNS('CF Q3-24'!$A:$F),FALSE),0)</f>
        <v>-107000</v>
      </c>
    </row>
    <row r="43" spans="2:9" x14ac:dyDescent="0.25">
      <c r="B43" t="s">
        <v>164</v>
      </c>
      <c r="C43" s="92">
        <f>IFERROR(VLOOKUP($B43,'CF FY21'!$A:$J,COLUMNS('CF FY21'!$A:$G),FALSE),0)</f>
        <v>104</v>
      </c>
      <c r="D43" s="92">
        <f>IFERROR(VLOOKUP($B43,'CF FY21'!$A:$J,COLUMNS('CF FY21'!$A:$D),FALSE),0)</f>
        <v>100</v>
      </c>
      <c r="E43" s="92">
        <v>0</v>
      </c>
      <c r="F43" s="92">
        <v>0</v>
      </c>
      <c r="G43" s="93">
        <f>IFERROR(VLOOKUP($B43,'CF Q1-24'!$A:$J,COLUMNS('CF Q1-24'!$A:$D),FALSE),0)</f>
        <v>0</v>
      </c>
      <c r="H43" s="94">
        <f>IFERROR(VLOOKUP($B43,'CF Q2-24'!$A:$J,COLUMNS('CF Q2-24'!$A:$F),FALSE),0)</f>
        <v>0</v>
      </c>
      <c r="I43" s="64">
        <f>IFERROR(VLOOKUP($B43,'CF Q3-24'!$A:$J,COLUMNS('CF Q3-24'!$A:$F),FALSE),0)</f>
        <v>0</v>
      </c>
    </row>
    <row r="44" spans="2:9" x14ac:dyDescent="0.25">
      <c r="B44" t="s">
        <v>134</v>
      </c>
      <c r="C44" s="92">
        <f>IFERROR(VLOOKUP($B44,'CF FY21'!$A:$J,COLUMNS('CF FY21'!$A:$G),FALSE),0)</f>
        <v>100000</v>
      </c>
      <c r="D44" s="92">
        <f>IFERROR(VLOOKUP($B44,'CF FY21'!$A:$J,COLUMNS('CF FY21'!$A:$D),FALSE),0)</f>
        <v>4750</v>
      </c>
      <c r="E44" s="92">
        <v>0</v>
      </c>
      <c r="F44" s="92">
        <v>0</v>
      </c>
      <c r="G44" s="93">
        <f>IFERROR(VLOOKUP($B44,'CF Q1-24'!$A:$J,COLUMNS('CF Q1-24'!$A:$D),FALSE),0)</f>
        <v>0</v>
      </c>
      <c r="H44" s="94">
        <f>IFERROR(VLOOKUP($B44,'CF Q2-24'!$A:$J,COLUMNS('CF Q2-24'!$A:$F),FALSE),0)</f>
        <v>0</v>
      </c>
      <c r="I44" s="64">
        <f>IFERROR(VLOOKUP($B44,'CF Q3-24'!$A:$J,COLUMNS('CF Q3-24'!$A:$F),FALSE),0)</f>
        <v>50000</v>
      </c>
    </row>
    <row r="45" spans="2:9" x14ac:dyDescent="0.25">
      <c r="B45" t="s">
        <v>133</v>
      </c>
      <c r="C45" s="92">
        <f>IFERROR(VLOOKUP($B45,'CF FY21'!$A:$J,COLUMNS('CF FY21'!$A:$G),FALSE),0)</f>
        <v>-20000</v>
      </c>
      <c r="D45" s="92">
        <f>IFERROR(VLOOKUP($B45,'CF FY21'!$A:$J,COLUMNS('CF FY21'!$A:$D),FALSE),0)</f>
        <v>-20000</v>
      </c>
      <c r="E45" s="92">
        <v>0</v>
      </c>
      <c r="F45" s="92">
        <f>IFERROR(VLOOKUP($B45,'CF FY23'!$A:$J,COLUMNS('CF FY23'!$A:$D),FALSE),0)</f>
        <v>-125000</v>
      </c>
      <c r="G45" s="93">
        <f>IFERROR(VLOOKUP($B45,'CF Q1-24'!$A:$J,COLUMNS('CF Q1-24'!$A:$D),FALSE),0)</f>
        <v>0</v>
      </c>
      <c r="H45" s="94">
        <f>IFERROR(VLOOKUP($B45,'CF Q2-24'!$A:$J,COLUMNS('CF Q2-24'!$A:$F),FALSE),0)</f>
        <v>0</v>
      </c>
      <c r="I45" s="64">
        <f>IFERROR(VLOOKUP($B45,'CF Q3-24'!$A:$J,COLUMNS('CF Q3-24'!$A:$F),FALSE),0)</f>
        <v>-50000</v>
      </c>
    </row>
    <row r="46" spans="2:9" x14ac:dyDescent="0.25">
      <c r="B46" t="s">
        <v>184</v>
      </c>
      <c r="C46" s="92">
        <f>IFERROR(VLOOKUP($B46,'CF FY21'!$A:$J,COLUMNS('CF FY21'!$A:$G),FALSE),0)</f>
        <v>-2189</v>
      </c>
      <c r="D46" s="92">
        <f>IFERROR(VLOOKUP($B46,'CF FY21'!$A:$J,COLUMNS('CF FY21'!$A:$D),FALSE),0)</f>
        <v>-2584</v>
      </c>
      <c r="E46" s="92">
        <f>IFERROR(VLOOKUP($B46,'CF FY23'!A:J,COLUMNS('CF FY23'!$A:$J),FALSE),0)</f>
        <v>-2466</v>
      </c>
      <c r="F46" s="92">
        <f>IFERROR(VLOOKUP($B46,'CF FY23'!$A:$J,COLUMNS('CF FY23'!$A:$D),FALSE),0)</f>
        <v>-2193</v>
      </c>
      <c r="G46" s="93">
        <f>IFERROR(VLOOKUP($B46,'CF Q1-24'!$A:$J,COLUMNS('CF Q1-24'!$A:$D),FALSE),0)</f>
        <v>0</v>
      </c>
      <c r="H46" s="94">
        <f>IFERROR(VLOOKUP($B46,'CF Q2-24'!$A:$J,COLUMNS('CF Q2-24'!$A:$F),FALSE),0)</f>
        <v>0</v>
      </c>
      <c r="I46" s="64">
        <f>IFERROR(VLOOKUP($B46,'CF Q3-24'!$A:$J,COLUMNS('CF Q3-24'!$A:$F),FALSE),0)</f>
        <v>0</v>
      </c>
    </row>
    <row r="47" spans="2:9" x14ac:dyDescent="0.25">
      <c r="B47" t="s">
        <v>132</v>
      </c>
      <c r="C47" s="92">
        <f>IFERROR(VLOOKUP($B47,'CF FY21'!$A:$J,COLUMNS('CF FY21'!$A:$G),FALSE),0)</f>
        <v>0</v>
      </c>
      <c r="D47" s="92">
        <f>IFERROR(VLOOKUP($B47,'CF FY21'!$A:$J,COLUMNS('CF FY21'!$A:$D),FALSE),0)</f>
        <v>0</v>
      </c>
      <c r="E47" s="92">
        <f>IFERROR(VLOOKUP($B47,'CF FY23'!A:J,COLUMNS('CF FY23'!$A:$J),FALSE),0)</f>
        <v>0</v>
      </c>
      <c r="F47" s="92">
        <f>IFERROR(VLOOKUP($B47,'CF FY23'!$A:$J,COLUMNS('CF FY23'!$A:$D),FALSE),0)</f>
        <v>0</v>
      </c>
      <c r="G47" s="93">
        <f>IFERROR(VLOOKUP($B47,'CF Q1-24'!$A:$J,COLUMNS('CF Q1-24'!$A:$D),FALSE),0)</f>
        <v>1624</v>
      </c>
      <c r="H47" s="94">
        <f>IFERROR(VLOOKUP($B47,'CF Q2-24'!$A:$J,COLUMNS('CF Q2-24'!$A:$F),FALSE),0)</f>
        <v>2226</v>
      </c>
      <c r="I47" s="64">
        <f>IFERROR(VLOOKUP($B47,'CF Q3-24'!$A:$J,COLUMNS('CF Q3-24'!$A:$F),FALSE),0)</f>
        <v>0</v>
      </c>
    </row>
    <row r="48" spans="2:9" x14ac:dyDescent="0.25">
      <c r="B48" t="s">
        <v>135</v>
      </c>
      <c r="C48" s="92">
        <f>IFERROR(VLOOKUP($B48,'CF FY21'!$A:$J,COLUMNS('CF FY21'!$A:$G),FALSE),0)</f>
        <v>1055</v>
      </c>
      <c r="D48" s="92">
        <f>IFERROR(VLOOKUP($B48,'CF FY21'!$A:$J,COLUMNS('CF FY21'!$A:$D),FALSE),0)</f>
        <v>-205</v>
      </c>
      <c r="E48" s="92">
        <f>IFERROR(VLOOKUP($B48,'CF FY23'!A:J,COLUMNS('CF FY23'!$A:$J),FALSE),0)</f>
        <v>606</v>
      </c>
      <c r="F48" s="92">
        <f>IFERROR(VLOOKUP($B48,'CF FY23'!$A:$J,COLUMNS('CF FY23'!$A:$D),FALSE),0)</f>
        <v>1195</v>
      </c>
      <c r="G48" s="93">
        <f>IFERROR(VLOOKUP($B48,'CF Q1-24'!$A:$J,COLUMNS('CF Q1-24'!$A:$D),FALSE),0)</f>
        <v>-574</v>
      </c>
      <c r="H48" s="94">
        <f>IFERROR(VLOOKUP($B48,'CF Q2-24'!$A:$J,COLUMNS('CF Q2-24'!$A:$F),FALSE),0)</f>
        <v>-490</v>
      </c>
      <c r="I48" s="64">
        <f>IFERROR(VLOOKUP($B48,'CF Q3-24'!$A:$J,COLUMNS('CF Q3-24'!$A:$F),FALSE),0)</f>
        <v>-1698</v>
      </c>
    </row>
    <row r="49" spans="2:26" x14ac:dyDescent="0.25">
      <c r="B49" s="4" t="s">
        <v>136</v>
      </c>
      <c r="C49" s="95">
        <f>IFERROR(VLOOKUP($B49,'CF FY21'!$A:$J,COLUMNS('CF FY21'!$A:$G),FALSE),0)</f>
        <v>-254618</v>
      </c>
      <c r="D49" s="95">
        <f>IFERROR(VLOOKUP($B49,'CF FY21'!$A:$J,COLUMNS('CF FY21'!$A:$D),FALSE),0)</f>
        <v>-233747</v>
      </c>
      <c r="E49" s="95">
        <f>IFERROR(VLOOKUP($B49,'CF FY23'!A:J,COLUMNS('CF FY23'!$A:$J),FALSE),0)</f>
        <v>-148140</v>
      </c>
      <c r="F49" s="95">
        <f>IFERROR(VLOOKUP($B49,'CF FY23'!$A:$J,COLUMNS('CF FY23'!$A:$D),FALSE),0)</f>
        <v>-580400</v>
      </c>
      <c r="G49" s="96">
        <f>IFERROR(VLOOKUP($B49,'CF Q1-24'!$A:$J,COLUMNS('CF Q1-24'!$A:$D),FALSE),0)</f>
        <v>-87191</v>
      </c>
      <c r="H49" s="97">
        <f>IFERROR(VLOOKUP($B49,'CF Q2-24'!$A:$J,COLUMNS('CF Q2-24'!$A:$F),FALSE),0)</f>
        <v>-47086</v>
      </c>
      <c r="I49" s="98">
        <f>IFERROR(VLOOKUP($B49,'CF Q3-24'!$A:$J,COLUMNS('CF Q3-24'!$A:$F),FALSE),0)</f>
        <v>-110198</v>
      </c>
    </row>
    <row r="50" spans="2:26" x14ac:dyDescent="0.25">
      <c r="B50" t="s">
        <v>137</v>
      </c>
      <c r="C50" s="92">
        <f>IFERROR(VLOOKUP($B50,'CF FY21'!$A:$J,COLUMNS('CF FY21'!$A:$G),FALSE),0)</f>
        <v>81</v>
      </c>
      <c r="D50" s="92">
        <f>IFERROR(VLOOKUP($B50,'CF FY21'!$A:$J,COLUMNS('CF FY21'!$A:$D),FALSE),0)</f>
        <v>356</v>
      </c>
      <c r="E50" s="92">
        <f>IFERROR(VLOOKUP($B50,'CF FY23'!A:J,COLUMNS('CF FY23'!$A:$J),FALSE),0)</f>
        <v>-549</v>
      </c>
      <c r="F50" s="92">
        <f>IFERROR(VLOOKUP($B50,'CF FY23'!$A:$J,COLUMNS('CF FY23'!$A:$D),FALSE),0)</f>
        <v>8</v>
      </c>
      <c r="G50" s="93">
        <f>IFERROR(VLOOKUP($B50,'CF Q1-24'!$A:$J,COLUMNS('CF Q1-24'!$A:$D),FALSE),0)</f>
        <v>209</v>
      </c>
      <c r="H50" s="94">
        <f>IFERROR(VLOOKUP($B50,'CF Q2-24'!$A:$J,COLUMNS('CF Q2-24'!$A:$F),FALSE),0)</f>
        <v>-17</v>
      </c>
      <c r="I50" s="64">
        <f>IFERROR(VLOOKUP($B50,'CF Q3-24'!$A:$J,COLUMNS('CF Q3-24'!$A:$F),FALSE),0)</f>
        <v>-61</v>
      </c>
    </row>
    <row r="51" spans="2:26" x14ac:dyDescent="0.25">
      <c r="B51" t="s">
        <v>185</v>
      </c>
      <c r="C51" s="92">
        <f>IFERROR(VLOOKUP($B51,'CF FY21'!$A:$J,COLUMNS('CF FY21'!$A:$G),FALSE),0)</f>
        <v>92925</v>
      </c>
      <c r="D51" s="92">
        <f>IFERROR(VLOOKUP($B51,'CF FY21'!$A:$J,COLUMNS('CF FY21'!$A:$D),FALSE),0)</f>
        <v>-84675</v>
      </c>
      <c r="E51" s="92">
        <f>IFERROR(VLOOKUP($B51,'CF FY23'!A:J,COLUMNS('CF FY23'!$A:$J),FALSE),0)</f>
        <v>3001</v>
      </c>
      <c r="F51" s="92">
        <f>IFERROR(VLOOKUP($B51,'CF FY23'!$A:$J,COLUMNS('CF FY23'!$A:$D),FALSE),0)</f>
        <v>6515</v>
      </c>
      <c r="G51" s="93">
        <f>IFERROR(VLOOKUP($B51,'CF Q1-24'!$A:$J,COLUMNS('CF Q1-24'!$A:$D),FALSE),0)</f>
        <v>-24247</v>
      </c>
      <c r="H51" s="94">
        <f>IFERROR(VLOOKUP($B51,'CF Q2-24'!$A:$J,COLUMNS('CF Q2-24'!$A:$F),FALSE),0)</f>
        <v>-3578</v>
      </c>
      <c r="I51" s="64">
        <f>IFERROR(VLOOKUP($B51,'CF Q3-24'!$A:$J,COLUMNS('CF Q3-24'!$A:$F),FALSE),0)</f>
        <v>3701</v>
      </c>
    </row>
    <row r="52" spans="2:26" x14ac:dyDescent="0.25">
      <c r="B52" t="s">
        <v>138</v>
      </c>
      <c r="C52" s="92">
        <f>IFERROR(VLOOKUP($B52,'CF FY21'!$A:$J,COLUMNS('CF FY21'!$A:$G),FALSE),0)</f>
        <v>32286</v>
      </c>
      <c r="D52" s="92">
        <f>IFERROR(VLOOKUP($B52,'CF FY21'!$A:$J,COLUMNS('CF FY21'!$A:$D),FALSE),0)</f>
        <v>125211</v>
      </c>
      <c r="E52" s="92">
        <f>IFERROR(VLOOKUP($B52,'CF FY23'!A:J,COLUMNS('CF FY23'!$A:$J),FALSE),0)</f>
        <v>40536</v>
      </c>
      <c r="F52" s="92">
        <f>IFERROR(VLOOKUP($B52,'CF FY23'!$A:$J,COLUMNS('CF FY23'!$A:$D),FALSE),0)</f>
        <v>43537</v>
      </c>
      <c r="G52" s="93">
        <f>IFERROR(VLOOKUP($B52,'CF Q1-24'!$A:$J,COLUMNS('CF Q1-24'!$A:$D),FALSE),0)</f>
        <v>50052</v>
      </c>
      <c r="H52" s="94">
        <f>G53</f>
        <v>25805</v>
      </c>
      <c r="I52" s="64">
        <f>H53</f>
        <v>22227</v>
      </c>
    </row>
    <row r="53" spans="2:26" x14ac:dyDescent="0.25">
      <c r="B53" t="s">
        <v>139</v>
      </c>
      <c r="C53" s="92">
        <f>IFERROR(VLOOKUP($B53,'CF FY21'!$A:$J,COLUMNS('CF FY21'!$A:$G),FALSE),0)</f>
        <v>125211</v>
      </c>
      <c r="D53" s="92">
        <f>IFERROR(VLOOKUP($B53,'CF FY21'!$A:$J,COLUMNS('CF FY21'!$A:$D),FALSE),0)</f>
        <v>40536</v>
      </c>
      <c r="E53" s="92">
        <f>IFERROR(VLOOKUP($B53,'CF FY23'!A:J,COLUMNS('CF FY23'!$A:$J),FALSE),0)</f>
        <v>43537</v>
      </c>
      <c r="F53" s="92">
        <f>IFERROR(VLOOKUP($B53,'CF FY23'!$A:$J,COLUMNS('CF FY23'!$A:$D),FALSE),0)</f>
        <v>50052</v>
      </c>
      <c r="G53" s="93">
        <f>IFERROR(VLOOKUP($B53,'CF Q1-24'!$A:$J,COLUMNS('CF Q1-24'!$A:$D),FALSE),0)</f>
        <v>25805</v>
      </c>
      <c r="H53" s="94">
        <f>IFERROR(VLOOKUP($B53,'CF Q2-24'!$A:$J,COLUMNS('CF Q2-24'!$A:$F),FALSE),0)</f>
        <v>22227</v>
      </c>
      <c r="I53" s="64">
        <f>IFERROR(VLOOKUP($B53,'CF Q3-24'!$A:$J,COLUMNS('CF Q3-24'!$A:$F),FALSE),0)</f>
        <v>25928</v>
      </c>
    </row>
    <row r="54" spans="2:26" x14ac:dyDescent="0.25">
      <c r="B54" t="s">
        <v>140</v>
      </c>
      <c r="C54" s="92">
        <f>IFERROR(VLOOKUP($B54,'CF FY21'!$A:$J,COLUMNS('CF FY21'!$A:$G),FALSE),0)</f>
        <v>0</v>
      </c>
      <c r="D54" s="92">
        <f>IFERROR(VLOOKUP($B54,'CF FY21'!$A:$J,COLUMNS('CF FY21'!$A:$D),FALSE),0)</f>
        <v>0</v>
      </c>
      <c r="E54" s="92">
        <f>IFERROR(VLOOKUP($B54,'CF FY23'!A:J,COLUMNS('CF FY23'!$A:$J),FALSE),0)</f>
        <v>0</v>
      </c>
      <c r="F54" s="92">
        <f>IFERROR(VLOOKUP($B54,'CF FY23'!$A:$J,COLUMNS('CF FY23'!$A:$D),FALSE),0)</f>
        <v>0</v>
      </c>
      <c r="G54" s="93">
        <f>IFERROR(VLOOKUP($B54,'CF Q1-24'!$A:$J,COLUMNS('CF Q1-24'!$A:$D),FALSE),0)</f>
        <v>0</v>
      </c>
      <c r="H54" s="94">
        <f>IFERROR(VLOOKUP($B54,'CF Q2-24'!$A:$J,COLUMNS('CF Q2-24'!$A:$F),FALSE),0)</f>
        <v>0</v>
      </c>
      <c r="I54" s="64">
        <f>IFERROR(VLOOKUP($B54,'CF Q3-24'!$A:$J,COLUMNS('CF Q3-24'!$A:$F),FALSE),0)</f>
        <v>0</v>
      </c>
    </row>
    <row r="55" spans="2:26" x14ac:dyDescent="0.25">
      <c r="B55" t="s">
        <v>141</v>
      </c>
      <c r="C55" s="92">
        <f>IFERROR(VLOOKUP($B55,'CF FY21'!$A:$J,COLUMNS('CF FY21'!$A:$G),FALSE),0)</f>
        <v>68929</v>
      </c>
      <c r="D55" s="92">
        <f>IFERROR(VLOOKUP($B55,'CF FY21'!$A:$J,COLUMNS('CF FY21'!$A:$D),FALSE),0)</f>
        <v>73116</v>
      </c>
      <c r="E55" s="92">
        <f>IFERROR(VLOOKUP($B55,'CF FY23'!A:J,COLUMNS('CF FY23'!$A:$J),FALSE),0)</f>
        <v>117038</v>
      </c>
      <c r="F55" s="92">
        <f>IFERROR(VLOOKUP($B55,'CF FY23'!$A:$J,COLUMNS('CF FY23'!$A:$D),FALSE),0)</f>
        <v>106962</v>
      </c>
      <c r="G55" s="93">
        <f>IFERROR(VLOOKUP($B55,'CF Q1-24'!$A:$J,COLUMNS('CF Q1-24'!$A:$D),FALSE),0)</f>
        <v>5454</v>
      </c>
      <c r="H55" s="94">
        <f>IFERROR(VLOOKUP($B55,'CF Q2-24'!$A:$J,COLUMNS('CF Q2-24'!$A:$F),FALSE),0)</f>
        <v>50289</v>
      </c>
      <c r="I55" s="64">
        <f>IFERROR(VLOOKUP($B55,'CF Q3-24'!$A:$J,COLUMNS('CF Q3-24'!$A:$F),FALSE),0)</f>
        <v>10328</v>
      </c>
    </row>
    <row r="56" spans="2:26" ht="15.75" thickBot="1" x14ac:dyDescent="0.3">
      <c r="B56" t="s">
        <v>142</v>
      </c>
      <c r="C56" s="92">
        <f>IFERROR(VLOOKUP($B56,'CF FY21'!$A:$J,COLUMNS('CF FY21'!$A:$G),FALSE),0)</f>
        <v>14973</v>
      </c>
      <c r="D56" s="92">
        <f>IFERROR(VLOOKUP($B56,'CF FY21'!$A:$J,COLUMNS('CF FY21'!$A:$D),FALSE),0)</f>
        <v>13995</v>
      </c>
      <c r="E56" s="92">
        <f>IFERROR(VLOOKUP($B56,'CF FY23'!A:J,COLUMNS('CF FY23'!$A:$J),FALSE),0)</f>
        <v>16903</v>
      </c>
      <c r="F56" s="92">
        <f>IFERROR(VLOOKUP($B56,'CF FY23'!$A:$J,COLUMNS('CF FY23'!$A:$D),FALSE),0)</f>
        <v>22432</v>
      </c>
      <c r="G56" s="154">
        <f>IFERROR(VLOOKUP($B56,'CF Q1-24'!$A:$J,COLUMNS('CF Q1-24'!$A:$D),FALSE),0)</f>
        <v>4882</v>
      </c>
      <c r="H56" s="161">
        <f>IFERROR(VLOOKUP($B56,'CF Q2-24'!$A:$J,COLUMNS('CF Q2-24'!$A:$F),FALSE),0)</f>
        <v>7114</v>
      </c>
      <c r="I56" s="157">
        <f>IFERROR(VLOOKUP($B56,'CF Q3-24'!$A:$J,COLUMNS('CF Q3-24'!$A:$F),FALSE),0)</f>
        <v>6239</v>
      </c>
    </row>
    <row r="58" spans="2:26" x14ac:dyDescent="0.25">
      <c r="C58" s="92">
        <f t="shared" ref="C58:I58" si="0">SUM(C6:C56)</f>
        <v>665074</v>
      </c>
      <c r="D58" s="92">
        <f t="shared" si="0"/>
        <v>5002</v>
      </c>
      <c r="E58" s="92">
        <f t="shared" si="0"/>
        <v>133267</v>
      </c>
      <c r="F58" s="92">
        <f t="shared" si="0"/>
        <v>598995</v>
      </c>
      <c r="G58" s="92">
        <f t="shared" si="0"/>
        <v>25283</v>
      </c>
      <c r="H58" s="92">
        <f t="shared" si="0"/>
        <v>111896</v>
      </c>
      <c r="I58" s="92">
        <f t="shared" si="0"/>
        <v>148096</v>
      </c>
    </row>
    <row r="59" spans="2:26" x14ac:dyDescent="0.25">
      <c r="B59" t="s">
        <v>207</v>
      </c>
      <c r="C59" s="92">
        <f>'CF FY21'!G56</f>
        <v>665074</v>
      </c>
      <c r="D59" s="92">
        <f>'CF FY21'!D56</f>
        <v>5002</v>
      </c>
      <c r="E59" s="92">
        <f>'CF FY23'!J56</f>
        <v>133267</v>
      </c>
      <c r="F59" s="92">
        <f>'CF FY23'!D56</f>
        <v>598995</v>
      </c>
      <c r="G59" s="92">
        <f>'CF Q1-24'!D46</f>
        <v>25283</v>
      </c>
      <c r="H59" s="92">
        <f>'CF Q2-24'!F49</f>
        <v>111896</v>
      </c>
      <c r="I59" s="92">
        <f>'CF Q3-24'!F51</f>
        <v>148096</v>
      </c>
    </row>
    <row r="60" spans="2:26" s="198" customFormat="1" x14ac:dyDescent="0.25">
      <c r="C60" s="110">
        <f t="shared" ref="C60:I60" si="1">C58-C59</f>
        <v>0</v>
      </c>
      <c r="D60" s="110">
        <f t="shared" si="1"/>
        <v>0</v>
      </c>
      <c r="E60" s="110">
        <f t="shared" si="1"/>
        <v>0</v>
      </c>
      <c r="F60" s="110">
        <f t="shared" si="1"/>
        <v>0</v>
      </c>
      <c r="G60" s="110">
        <f t="shared" si="1"/>
        <v>0</v>
      </c>
      <c r="H60" s="110">
        <f t="shared" si="1"/>
        <v>0</v>
      </c>
      <c r="I60" s="110">
        <f t="shared" si="1"/>
        <v>0</v>
      </c>
      <c r="J60"/>
      <c r="K60"/>
      <c r="L60"/>
      <c r="M60"/>
      <c r="N60"/>
      <c r="O60"/>
      <c r="P60"/>
      <c r="Q60"/>
      <c r="R60"/>
      <c r="T60" s="109"/>
      <c r="U60" s="109"/>
      <c r="V60" s="109"/>
      <c r="W60" s="109"/>
      <c r="X60" s="109"/>
      <c r="Y60" s="109"/>
      <c r="Z60" s="10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2418-2762-4E2B-A0E3-1650556C0D94}">
  <sheetPr>
    <tabColor theme="5" tint="0.59999389629810485"/>
  </sheetPr>
  <dimension ref="A2:L46"/>
  <sheetViews>
    <sheetView workbookViewId="0"/>
  </sheetViews>
  <sheetFormatPr defaultRowHeight="15" x14ac:dyDescent="0.25"/>
  <cols>
    <col min="1" max="3" width="9.140625" style="12"/>
    <col min="4" max="4" width="14.28515625" style="12" bestFit="1" customWidth="1"/>
    <col min="5" max="9" width="9.140625" style="12"/>
    <col min="10" max="10" width="14.28515625" style="12" bestFit="1" customWidth="1"/>
    <col min="11" max="16384" width="9.140625" style="12"/>
  </cols>
  <sheetData>
    <row r="2" spans="1:12" x14ac:dyDescent="0.25">
      <c r="A2" s="11" t="s">
        <v>48</v>
      </c>
      <c r="B2" s="11"/>
      <c r="C2" s="11"/>
      <c r="D2" s="11"/>
      <c r="E2" s="11"/>
      <c r="F2" s="11"/>
    </row>
    <row r="4" spans="1:12" ht="39.950000000000003" customHeight="1" x14ac:dyDescent="0.25">
      <c r="A4" s="14"/>
      <c r="B4" s="14"/>
      <c r="C4" s="14"/>
      <c r="D4" s="13" t="s">
        <v>49</v>
      </c>
      <c r="E4" s="13"/>
      <c r="F4" s="13"/>
      <c r="G4" s="14"/>
      <c r="H4" s="14"/>
      <c r="I4" s="14"/>
      <c r="J4" s="13" t="s">
        <v>50</v>
      </c>
      <c r="K4" s="13"/>
      <c r="L4" s="13"/>
    </row>
    <row r="5" spans="1:12" x14ac:dyDescent="0.25">
      <c r="A5" s="14"/>
      <c r="B5" s="14"/>
      <c r="C5" s="14"/>
      <c r="D5" s="11" t="s">
        <v>51</v>
      </c>
      <c r="E5" s="11"/>
      <c r="F5" s="11"/>
      <c r="G5" s="14"/>
      <c r="H5" s="14"/>
      <c r="I5" s="14"/>
      <c r="J5" s="14"/>
      <c r="K5" s="14"/>
      <c r="L5" s="14"/>
    </row>
    <row r="6" spans="1:12" x14ac:dyDescent="0.25">
      <c r="A6" s="11" t="s">
        <v>52</v>
      </c>
      <c r="B6" s="11"/>
      <c r="C6" s="11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1" t="s">
        <v>53</v>
      </c>
      <c r="B7" s="11"/>
      <c r="C7" s="11"/>
      <c r="D7" s="14"/>
      <c r="E7" s="14"/>
      <c r="F7" s="14"/>
      <c r="G7" s="14"/>
      <c r="H7" s="14"/>
      <c r="I7" s="14"/>
      <c r="J7" s="14"/>
      <c r="K7" s="14"/>
      <c r="L7" s="14"/>
    </row>
    <row r="8" spans="1:12" x14ac:dyDescent="0.25">
      <c r="A8" s="11" t="s">
        <v>54</v>
      </c>
      <c r="B8" s="11"/>
      <c r="C8" s="11"/>
      <c r="D8" s="11">
        <v>25928</v>
      </c>
      <c r="E8" s="11"/>
      <c r="G8" s="14"/>
      <c r="H8" s="14"/>
      <c r="I8" s="14"/>
      <c r="J8" s="11">
        <v>50052</v>
      </c>
      <c r="K8" s="11"/>
    </row>
    <row r="9" spans="1:12" x14ac:dyDescent="0.25">
      <c r="A9" s="11" t="s">
        <v>120</v>
      </c>
      <c r="B9" s="11"/>
      <c r="C9" s="11"/>
      <c r="D9" s="11">
        <v>419810</v>
      </c>
      <c r="E9" s="11"/>
      <c r="G9" s="14"/>
      <c r="H9" s="14"/>
      <c r="I9" s="14"/>
      <c r="J9" s="11">
        <v>435421</v>
      </c>
      <c r="K9" s="11"/>
    </row>
    <row r="10" spans="1:12" x14ac:dyDescent="0.25">
      <c r="A10" s="11" t="s">
        <v>55</v>
      </c>
      <c r="B10" s="11"/>
      <c r="C10" s="11"/>
      <c r="D10" s="11">
        <v>665638</v>
      </c>
      <c r="E10" s="11"/>
      <c r="G10" s="14"/>
      <c r="H10" s="14"/>
      <c r="I10" s="14"/>
      <c r="J10" s="11">
        <v>726521</v>
      </c>
      <c r="K10" s="11"/>
    </row>
    <row r="11" spans="1:12" x14ac:dyDescent="0.25">
      <c r="A11" s="11" t="s">
        <v>56</v>
      </c>
      <c r="B11" s="11"/>
      <c r="C11" s="11"/>
      <c r="D11" s="11">
        <v>101472</v>
      </c>
      <c r="E11" s="11"/>
      <c r="G11" s="14"/>
      <c r="H11" s="14"/>
      <c r="I11" s="14"/>
      <c r="J11" s="11">
        <v>105519</v>
      </c>
      <c r="K11" s="11"/>
    </row>
    <row r="12" spans="1:12" x14ac:dyDescent="0.25">
      <c r="A12" s="11" t="s">
        <v>57</v>
      </c>
      <c r="B12" s="11"/>
      <c r="C12" s="11"/>
      <c r="D12" s="11">
        <v>1212848</v>
      </c>
      <c r="E12" s="11"/>
      <c r="G12" s="14"/>
      <c r="H12" s="14"/>
      <c r="I12" s="14"/>
      <c r="J12" s="11">
        <v>1317513</v>
      </c>
      <c r="K12" s="11"/>
    </row>
    <row r="13" spans="1:12" x14ac:dyDescent="0.25">
      <c r="A13" s="11" t="s">
        <v>58</v>
      </c>
      <c r="B13" s="11"/>
      <c r="C13" s="11"/>
      <c r="D13" s="11">
        <v>344787</v>
      </c>
      <c r="E13" s="11"/>
      <c r="G13" s="14"/>
      <c r="H13" s="14"/>
      <c r="I13" s="14"/>
      <c r="J13" s="11">
        <v>319660</v>
      </c>
      <c r="K13" s="11"/>
    </row>
    <row r="14" spans="1:12" x14ac:dyDescent="0.25">
      <c r="A14" s="11" t="s">
        <v>59</v>
      </c>
      <c r="B14" s="11"/>
      <c r="C14" s="11"/>
      <c r="D14" s="11">
        <v>721932</v>
      </c>
      <c r="E14" s="11"/>
      <c r="G14" s="14"/>
      <c r="H14" s="14"/>
      <c r="I14" s="14"/>
      <c r="J14" s="11">
        <v>718174</v>
      </c>
      <c r="K14" s="11"/>
    </row>
    <row r="15" spans="1:12" x14ac:dyDescent="0.25">
      <c r="A15" s="11" t="s">
        <v>60</v>
      </c>
      <c r="B15" s="11"/>
      <c r="C15" s="11"/>
      <c r="D15" s="11">
        <v>102854</v>
      </c>
      <c r="E15" s="11"/>
      <c r="G15" s="14"/>
      <c r="H15" s="14"/>
      <c r="I15" s="14"/>
      <c r="J15" s="11">
        <v>110641</v>
      </c>
      <c r="K15" s="11"/>
    </row>
    <row r="16" spans="1:12" x14ac:dyDescent="0.25">
      <c r="A16" s="11" t="s">
        <v>61</v>
      </c>
      <c r="B16" s="11"/>
      <c r="C16" s="11"/>
      <c r="D16" s="11">
        <v>60878</v>
      </c>
      <c r="E16" s="11"/>
      <c r="G16" s="14"/>
      <c r="H16" s="14"/>
      <c r="I16" s="14"/>
      <c r="J16" s="11">
        <v>65909</v>
      </c>
      <c r="K16" s="11"/>
    </row>
    <row r="17" spans="1:12" x14ac:dyDescent="0.25">
      <c r="A17" s="11" t="s">
        <v>62</v>
      </c>
      <c r="B17" s="11"/>
      <c r="C17" s="11"/>
      <c r="D17" s="11">
        <v>24495</v>
      </c>
      <c r="E17" s="11"/>
      <c r="G17" s="14"/>
      <c r="H17" s="14"/>
      <c r="I17" s="14"/>
      <c r="J17" s="11">
        <v>12237</v>
      </c>
      <c r="K17" s="11"/>
    </row>
    <row r="18" spans="1:12" x14ac:dyDescent="0.25">
      <c r="A18" s="11" t="s">
        <v>63</v>
      </c>
      <c r="B18" s="11"/>
      <c r="C18" s="11"/>
      <c r="D18" s="11">
        <v>2467794</v>
      </c>
      <c r="E18" s="11"/>
      <c r="G18" s="14"/>
      <c r="H18" s="14"/>
      <c r="I18" s="14"/>
      <c r="J18" s="11">
        <v>2544134</v>
      </c>
      <c r="K18" s="11"/>
    </row>
    <row r="19" spans="1:12" x14ac:dyDescent="0.25">
      <c r="A19" s="11" t="s">
        <v>64</v>
      </c>
      <c r="B19" s="11"/>
      <c r="C19" s="11"/>
      <c r="D19" s="14"/>
      <c r="E19" s="14"/>
      <c r="F19" s="14"/>
      <c r="G19" s="14"/>
      <c r="H19" s="14"/>
      <c r="I19" s="14"/>
      <c r="J19" s="14"/>
      <c r="K19" s="14"/>
      <c r="L19" s="14"/>
    </row>
    <row r="20" spans="1:12" x14ac:dyDescent="0.25">
      <c r="A20" s="11" t="s">
        <v>65</v>
      </c>
      <c r="B20" s="11"/>
      <c r="C20" s="11"/>
      <c r="D20" s="14"/>
      <c r="E20" s="14"/>
      <c r="F20" s="14"/>
      <c r="G20" s="14"/>
      <c r="H20" s="14"/>
      <c r="I20" s="14"/>
      <c r="J20" s="14"/>
      <c r="K20" s="14"/>
      <c r="L20" s="14"/>
    </row>
    <row r="21" spans="1:12" x14ac:dyDescent="0.25">
      <c r="A21" s="11" t="s">
        <v>66</v>
      </c>
      <c r="B21" s="11"/>
      <c r="C21" s="11"/>
      <c r="D21" s="11">
        <v>206335</v>
      </c>
      <c r="E21" s="11"/>
      <c r="G21" s="14"/>
      <c r="H21" s="14"/>
      <c r="I21" s="14"/>
      <c r="J21" s="11">
        <v>229935</v>
      </c>
      <c r="K21" s="11"/>
    </row>
    <row r="22" spans="1:12" x14ac:dyDescent="0.25">
      <c r="A22" s="11" t="s">
        <v>67</v>
      </c>
      <c r="B22" s="11"/>
      <c r="C22" s="11"/>
      <c r="D22" s="11">
        <v>22235</v>
      </c>
      <c r="E22" s="11"/>
      <c r="G22" s="14"/>
      <c r="H22" s="14"/>
      <c r="I22" s="14"/>
      <c r="J22" s="11">
        <v>21168</v>
      </c>
      <c r="K22" s="11"/>
    </row>
    <row r="23" spans="1:12" x14ac:dyDescent="0.25">
      <c r="A23" s="11" t="s">
        <v>68</v>
      </c>
      <c r="B23" s="11"/>
      <c r="C23" s="11"/>
      <c r="D23" s="11">
        <v>205644</v>
      </c>
      <c r="E23" s="11"/>
      <c r="G23" s="14"/>
      <c r="H23" s="14"/>
      <c r="I23" s="14"/>
      <c r="J23" s="11">
        <v>226299</v>
      </c>
      <c r="K23" s="11"/>
    </row>
    <row r="24" spans="1:12" x14ac:dyDescent="0.25">
      <c r="A24" s="11" t="s">
        <v>69</v>
      </c>
      <c r="B24" s="11"/>
      <c r="C24" s="11"/>
      <c r="D24" s="11">
        <v>149298</v>
      </c>
      <c r="E24" s="11"/>
      <c r="G24" s="14"/>
      <c r="H24" s="14"/>
      <c r="I24" s="14"/>
      <c r="J24" s="11">
        <v>172034</v>
      </c>
      <c r="K24" s="11"/>
    </row>
    <row r="25" spans="1:12" x14ac:dyDescent="0.25">
      <c r="A25" s="11" t="s">
        <v>70</v>
      </c>
      <c r="B25" s="11"/>
      <c r="C25" s="11"/>
      <c r="D25" s="11">
        <v>583512</v>
      </c>
      <c r="E25" s="11"/>
      <c r="G25" s="14"/>
      <c r="H25" s="14"/>
      <c r="I25" s="14"/>
      <c r="J25" s="11">
        <v>649436</v>
      </c>
      <c r="K25" s="11"/>
    </row>
    <row r="26" spans="1:12" x14ac:dyDescent="0.25">
      <c r="A26" s="11" t="s">
        <v>71</v>
      </c>
      <c r="B26" s="11"/>
      <c r="C26" s="11"/>
      <c r="D26" s="11">
        <v>299812</v>
      </c>
      <c r="E26" s="11"/>
      <c r="G26" s="14"/>
      <c r="H26" s="14"/>
      <c r="I26" s="14"/>
      <c r="J26" s="11">
        <v>224391</v>
      </c>
      <c r="K26" s="11"/>
    </row>
    <row r="27" spans="1:12" x14ac:dyDescent="0.25">
      <c r="A27" s="11" t="s">
        <v>72</v>
      </c>
      <c r="B27" s="11"/>
      <c r="C27" s="11"/>
      <c r="D27" s="11">
        <v>39532</v>
      </c>
      <c r="E27" s="11"/>
      <c r="G27" s="14"/>
      <c r="H27" s="14"/>
      <c r="I27" s="14"/>
      <c r="J27" s="11">
        <v>45924</v>
      </c>
      <c r="K27" s="11"/>
    </row>
    <row r="28" spans="1:12" x14ac:dyDescent="0.25">
      <c r="A28" s="11" t="s">
        <v>73</v>
      </c>
      <c r="B28" s="11"/>
      <c r="C28" s="11"/>
      <c r="D28" s="11">
        <v>130729</v>
      </c>
      <c r="E28" s="11"/>
      <c r="G28" s="14"/>
      <c r="H28" s="14"/>
      <c r="I28" s="14"/>
      <c r="J28" s="11">
        <v>131801</v>
      </c>
      <c r="K28" s="11"/>
    </row>
    <row r="29" spans="1:12" x14ac:dyDescent="0.25">
      <c r="A29" s="11"/>
      <c r="B29" s="11"/>
      <c r="C29" s="11"/>
      <c r="D29" s="11"/>
      <c r="E29" s="11"/>
      <c r="G29" s="14"/>
      <c r="H29" s="14"/>
      <c r="I29" s="14"/>
      <c r="J29" s="11"/>
      <c r="K29" s="11"/>
    </row>
    <row r="30" spans="1:12" x14ac:dyDescent="0.25">
      <c r="A30" s="11" t="s">
        <v>74</v>
      </c>
      <c r="B30" s="11"/>
      <c r="C30" s="11"/>
      <c r="D30" s="11">
        <v>1053585</v>
      </c>
      <c r="E30" s="11"/>
      <c r="G30" s="14"/>
      <c r="H30" s="14"/>
      <c r="I30" s="14"/>
      <c r="J30" s="11">
        <v>1051552</v>
      </c>
      <c r="K30" s="11"/>
    </row>
    <row r="31" spans="1:12" x14ac:dyDescent="0.25">
      <c r="A31" s="11" t="s">
        <v>75</v>
      </c>
      <c r="B31" s="11"/>
      <c r="C31" s="11"/>
      <c r="D31" s="14"/>
      <c r="E31" s="14"/>
      <c r="F31" s="14"/>
      <c r="G31" s="14"/>
      <c r="H31" s="14"/>
      <c r="I31" s="14"/>
      <c r="J31" s="14"/>
      <c r="K31" s="14"/>
      <c r="L31" s="14"/>
    </row>
    <row r="32" spans="1:12" x14ac:dyDescent="0.25">
      <c r="A32" s="11" t="s">
        <v>76</v>
      </c>
      <c r="B32" s="11"/>
      <c r="C32" s="11"/>
      <c r="D32" s="14"/>
      <c r="E32" s="14"/>
      <c r="F32" s="14"/>
      <c r="G32" s="14"/>
      <c r="H32" s="14"/>
      <c r="I32" s="14"/>
      <c r="J32" s="14"/>
      <c r="K32" s="14"/>
      <c r="L32" s="14"/>
    </row>
    <row r="33" spans="1:12" x14ac:dyDescent="0.25">
      <c r="A33" s="11" t="s">
        <v>77</v>
      </c>
      <c r="B33" s="11"/>
      <c r="C33" s="11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11" t="s">
        <v>203</v>
      </c>
      <c r="B34" s="11"/>
      <c r="C34" s="11"/>
      <c r="D34" s="11" t="s">
        <v>78</v>
      </c>
      <c r="E34" s="11"/>
      <c r="G34" s="14"/>
      <c r="H34" s="14"/>
      <c r="I34" s="14"/>
      <c r="J34" s="11" t="s">
        <v>78</v>
      </c>
      <c r="K34" s="11"/>
    </row>
    <row r="35" spans="1:12" x14ac:dyDescent="0.25">
      <c r="A35" s="11" t="s">
        <v>210</v>
      </c>
      <c r="B35" s="11"/>
      <c r="C35" s="11"/>
      <c r="D35" s="11">
        <v>57</v>
      </c>
      <c r="E35" s="11"/>
      <c r="G35" s="14"/>
      <c r="H35" s="14"/>
      <c r="I35" s="14"/>
      <c r="J35" s="11">
        <v>48</v>
      </c>
      <c r="K35" s="11"/>
    </row>
    <row r="36" spans="1:12" x14ac:dyDescent="0.25">
      <c r="A36" s="11" t="s">
        <v>211</v>
      </c>
      <c r="B36" s="11"/>
      <c r="C36" s="11"/>
      <c r="D36" s="11" t="s">
        <v>78</v>
      </c>
      <c r="E36" s="11"/>
      <c r="G36" s="14"/>
      <c r="H36" s="14"/>
      <c r="I36" s="14"/>
      <c r="J36" s="11">
        <v>9</v>
      </c>
      <c r="K36" s="11"/>
    </row>
    <row r="37" spans="1:12" x14ac:dyDescent="0.25">
      <c r="A37" s="11" t="s">
        <v>79</v>
      </c>
      <c r="B37" s="11"/>
      <c r="C37" s="11"/>
      <c r="D37" s="11">
        <v>1063738</v>
      </c>
      <c r="E37" s="11"/>
      <c r="G37" s="14"/>
      <c r="H37" s="14"/>
      <c r="I37" s="14"/>
      <c r="J37" s="11">
        <v>849502</v>
      </c>
      <c r="K37" s="11"/>
    </row>
    <row r="38" spans="1:12" x14ac:dyDescent="0.25">
      <c r="A38" s="11" t="s">
        <v>80</v>
      </c>
      <c r="B38" s="11"/>
      <c r="C38" s="11"/>
      <c r="D38" s="11">
        <v>470085</v>
      </c>
      <c r="E38" s="11"/>
      <c r="G38" s="14"/>
      <c r="H38" s="14"/>
      <c r="I38" s="14"/>
      <c r="J38" s="11">
        <v>755007</v>
      </c>
      <c r="K38" s="11"/>
    </row>
    <row r="39" spans="1:12" x14ac:dyDescent="0.25">
      <c r="A39" s="11" t="s">
        <v>81</v>
      </c>
      <c r="B39" s="11"/>
      <c r="C39" s="11"/>
      <c r="D39" s="11">
        <v>-17553</v>
      </c>
      <c r="E39" s="11"/>
      <c r="G39" s="14"/>
      <c r="H39" s="14"/>
      <c r="I39" s="14"/>
      <c r="J39" s="11">
        <v>-17725</v>
      </c>
      <c r="K39" s="11"/>
    </row>
    <row r="40" spans="1:12" x14ac:dyDescent="0.25">
      <c r="A40" s="11" t="s">
        <v>209</v>
      </c>
      <c r="B40" s="11"/>
      <c r="C40" s="11"/>
      <c r="D40" s="11">
        <v>-114711</v>
      </c>
      <c r="E40" s="11"/>
      <c r="G40" s="14"/>
      <c r="H40" s="14"/>
      <c r="I40" s="14"/>
      <c r="J40" s="11">
        <v>-107677</v>
      </c>
      <c r="K40" s="11"/>
    </row>
    <row r="41" spans="1:12" x14ac:dyDescent="0.25">
      <c r="A41" s="11" t="s">
        <v>82</v>
      </c>
      <c r="B41" s="11"/>
      <c r="C41" s="11"/>
      <c r="D41" s="11">
        <v>1401616</v>
      </c>
      <c r="E41" s="11"/>
      <c r="G41" s="14"/>
      <c r="H41" s="14"/>
      <c r="I41" s="14"/>
      <c r="J41" s="11">
        <v>1479164</v>
      </c>
      <c r="K41" s="11"/>
    </row>
    <row r="42" spans="1:12" x14ac:dyDescent="0.25">
      <c r="A42" s="11" t="s">
        <v>83</v>
      </c>
      <c r="B42" s="11"/>
      <c r="C42" s="11"/>
      <c r="D42" s="11">
        <v>12593</v>
      </c>
      <c r="E42" s="11"/>
      <c r="G42" s="14"/>
      <c r="H42" s="14"/>
      <c r="I42" s="14"/>
      <c r="J42" s="11">
        <v>13418</v>
      </c>
      <c r="K42" s="11"/>
    </row>
    <row r="43" spans="1:12" x14ac:dyDescent="0.25">
      <c r="A43" s="11" t="s">
        <v>171</v>
      </c>
      <c r="B43" s="11"/>
      <c r="C43" s="11"/>
      <c r="D43" s="11">
        <v>1414209</v>
      </c>
      <c r="E43" s="11"/>
      <c r="G43" s="14"/>
      <c r="H43" s="14"/>
      <c r="I43" s="14"/>
      <c r="J43" s="11">
        <v>1492582</v>
      </c>
      <c r="K43" s="11"/>
    </row>
    <row r="44" spans="1:12" x14ac:dyDescent="0.25">
      <c r="A44" s="11" t="s">
        <v>84</v>
      </c>
      <c r="B44" s="11"/>
      <c r="C44" s="11"/>
      <c r="D44" s="11">
        <v>2467794</v>
      </c>
      <c r="E44" s="11"/>
      <c r="G44" s="14"/>
      <c r="H44" s="14"/>
      <c r="I44" s="14"/>
      <c r="J44" s="11">
        <v>2544134</v>
      </c>
      <c r="K44" s="11"/>
    </row>
    <row r="46" spans="1:12" x14ac:dyDescent="0.25">
      <c r="D46" s="12">
        <f>SUM(D6:D44)</f>
        <v>15536946</v>
      </c>
      <c r="J46" s="12">
        <f>SUM(J6:J44)</f>
        <v>16166783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AF09-F4AE-477D-88DA-ECBE03A84E4B}">
  <sheetPr>
    <tabColor theme="5" tint="0.59999389629810485"/>
  </sheetPr>
  <dimension ref="A2:L46"/>
  <sheetViews>
    <sheetView workbookViewId="0"/>
  </sheetViews>
  <sheetFormatPr defaultRowHeight="15" x14ac:dyDescent="0.25"/>
  <cols>
    <col min="1" max="3" width="9.140625" style="12"/>
    <col min="4" max="4" width="14.28515625" style="12" bestFit="1" customWidth="1"/>
    <col min="5" max="9" width="9.140625" style="12"/>
    <col min="10" max="10" width="14.28515625" style="12" bestFit="1" customWidth="1"/>
    <col min="11" max="16384" width="9.140625" style="12"/>
  </cols>
  <sheetData>
    <row r="2" spans="1:12" x14ac:dyDescent="0.25">
      <c r="A2" s="11" t="s">
        <v>48</v>
      </c>
      <c r="B2" s="11"/>
      <c r="C2" s="11"/>
      <c r="D2" s="11"/>
      <c r="E2" s="11"/>
      <c r="F2" s="11"/>
    </row>
    <row r="4" spans="1:12" ht="39.950000000000003" customHeight="1" x14ac:dyDescent="0.25">
      <c r="A4" s="14"/>
      <c r="B4" s="14"/>
      <c r="C4" s="14"/>
      <c r="D4" s="13" t="s">
        <v>143</v>
      </c>
      <c r="E4" s="13"/>
      <c r="F4" s="13"/>
      <c r="G4" s="14"/>
      <c r="H4" s="14"/>
      <c r="I4" s="14"/>
      <c r="J4" s="13" t="s">
        <v>50</v>
      </c>
      <c r="K4" s="13"/>
      <c r="L4" s="13"/>
    </row>
    <row r="5" spans="1:12" x14ac:dyDescent="0.25">
      <c r="A5" s="14"/>
      <c r="B5" s="14"/>
      <c r="C5" s="14"/>
      <c r="D5" s="11" t="s">
        <v>51</v>
      </c>
      <c r="E5" s="11"/>
      <c r="F5" s="11"/>
      <c r="G5" s="14"/>
      <c r="H5" s="14"/>
      <c r="I5" s="14"/>
      <c r="J5" s="14"/>
      <c r="K5" s="14"/>
      <c r="L5" s="14"/>
    </row>
    <row r="6" spans="1:12" x14ac:dyDescent="0.25">
      <c r="A6" s="11" t="s">
        <v>52</v>
      </c>
      <c r="B6" s="11"/>
      <c r="C6" s="11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1" t="s">
        <v>53</v>
      </c>
      <c r="B7" s="11"/>
      <c r="C7" s="11"/>
      <c r="D7" s="14"/>
      <c r="E7" s="14"/>
      <c r="F7" s="14"/>
      <c r="G7" s="14"/>
      <c r="H7" s="14"/>
      <c r="I7" s="14"/>
      <c r="J7" s="14"/>
      <c r="K7" s="14"/>
      <c r="L7" s="14"/>
    </row>
    <row r="8" spans="1:12" x14ac:dyDescent="0.25">
      <c r="A8" s="11" t="s">
        <v>54</v>
      </c>
      <c r="B8" s="11"/>
      <c r="C8" s="11"/>
      <c r="D8" s="11">
        <v>22227</v>
      </c>
      <c r="E8" s="11"/>
      <c r="G8" s="14"/>
      <c r="H8" s="14"/>
      <c r="I8" s="14"/>
      <c r="J8" s="11">
        <v>50052</v>
      </c>
      <c r="K8" s="11"/>
    </row>
    <row r="9" spans="1:12" x14ac:dyDescent="0.25">
      <c r="A9" s="11" t="s">
        <v>120</v>
      </c>
      <c r="B9" s="11"/>
      <c r="C9" s="11"/>
      <c r="D9" s="11">
        <v>428699</v>
      </c>
      <c r="E9" s="11"/>
      <c r="G9" s="14"/>
      <c r="H9" s="14"/>
      <c r="I9" s="14"/>
      <c r="J9" s="11">
        <v>435421</v>
      </c>
      <c r="K9" s="11"/>
    </row>
    <row r="10" spans="1:12" x14ac:dyDescent="0.25">
      <c r="A10" s="11" t="s">
        <v>55</v>
      </c>
      <c r="B10" s="11"/>
      <c r="C10" s="11"/>
      <c r="D10" s="11">
        <v>685373</v>
      </c>
      <c r="E10" s="11"/>
      <c r="G10" s="14"/>
      <c r="H10" s="14"/>
      <c r="I10" s="14"/>
      <c r="J10" s="11">
        <v>726521</v>
      </c>
      <c r="K10" s="11"/>
    </row>
    <row r="11" spans="1:12" x14ac:dyDescent="0.25">
      <c r="A11" s="11" t="s">
        <v>56</v>
      </c>
      <c r="B11" s="11"/>
      <c r="C11" s="11"/>
      <c r="D11" s="11">
        <v>128614</v>
      </c>
      <c r="E11" s="11"/>
      <c r="G11" s="14"/>
      <c r="H11" s="14"/>
      <c r="I11" s="14"/>
      <c r="J11" s="11">
        <v>105519</v>
      </c>
      <c r="K11" s="11"/>
    </row>
    <row r="12" spans="1:12" x14ac:dyDescent="0.25">
      <c r="A12" s="11" t="s">
        <v>57</v>
      </c>
      <c r="B12" s="11"/>
      <c r="C12" s="11"/>
      <c r="D12" s="11">
        <v>1264913</v>
      </c>
      <c r="E12" s="11"/>
      <c r="G12" s="14"/>
      <c r="H12" s="14"/>
      <c r="I12" s="14"/>
      <c r="J12" s="11">
        <v>1317513</v>
      </c>
      <c r="K12" s="11"/>
    </row>
    <row r="13" spans="1:12" x14ac:dyDescent="0.25">
      <c r="A13" s="11" t="s">
        <v>58</v>
      </c>
      <c r="B13" s="11"/>
      <c r="C13" s="11"/>
      <c r="D13" s="11">
        <v>330765</v>
      </c>
      <c r="E13" s="11"/>
      <c r="G13" s="14"/>
      <c r="H13" s="14"/>
      <c r="I13" s="14"/>
      <c r="J13" s="11">
        <v>319660</v>
      </c>
      <c r="K13" s="11"/>
    </row>
    <row r="14" spans="1:12" x14ac:dyDescent="0.25">
      <c r="A14" s="11" t="s">
        <v>59</v>
      </c>
      <c r="B14" s="11"/>
      <c r="C14" s="11"/>
      <c r="D14" s="11">
        <v>722101</v>
      </c>
      <c r="E14" s="11"/>
      <c r="G14" s="14"/>
      <c r="H14" s="14"/>
      <c r="I14" s="14"/>
      <c r="J14" s="11">
        <v>718174</v>
      </c>
      <c r="K14" s="11"/>
    </row>
    <row r="15" spans="1:12" x14ac:dyDescent="0.25">
      <c r="A15" s="11" t="s">
        <v>60</v>
      </c>
      <c r="B15" s="11"/>
      <c r="C15" s="11"/>
      <c r="D15" s="11">
        <v>106833</v>
      </c>
      <c r="E15" s="11"/>
      <c r="G15" s="14"/>
      <c r="H15" s="14"/>
      <c r="I15" s="14"/>
      <c r="J15" s="11">
        <v>110641</v>
      </c>
      <c r="K15" s="11"/>
    </row>
    <row r="16" spans="1:12" x14ac:dyDescent="0.25">
      <c r="A16" s="11" t="s">
        <v>61</v>
      </c>
      <c r="B16" s="11"/>
      <c r="C16" s="11"/>
      <c r="D16" s="11">
        <v>61943</v>
      </c>
      <c r="E16" s="11"/>
      <c r="G16" s="14"/>
      <c r="H16" s="14"/>
      <c r="I16" s="14"/>
      <c r="J16" s="11">
        <v>65909</v>
      </c>
      <c r="K16" s="11"/>
    </row>
    <row r="17" spans="1:12" x14ac:dyDescent="0.25">
      <c r="A17" s="11" t="s">
        <v>62</v>
      </c>
      <c r="B17" s="11"/>
      <c r="C17" s="11"/>
      <c r="D17" s="11">
        <v>14839</v>
      </c>
      <c r="E17" s="11"/>
      <c r="G17" s="14"/>
      <c r="H17" s="14"/>
      <c r="I17" s="14"/>
      <c r="J17" s="11">
        <v>12237</v>
      </c>
      <c r="K17" s="11"/>
    </row>
    <row r="18" spans="1:12" x14ac:dyDescent="0.25">
      <c r="A18" s="11" t="s">
        <v>63</v>
      </c>
      <c r="B18" s="11"/>
      <c r="C18" s="11"/>
      <c r="D18" s="11">
        <v>2501394</v>
      </c>
      <c r="E18" s="11"/>
      <c r="G18" s="14"/>
      <c r="H18" s="14"/>
      <c r="I18" s="14"/>
      <c r="J18" s="11">
        <v>2544134</v>
      </c>
      <c r="K18" s="11"/>
    </row>
    <row r="19" spans="1:12" x14ac:dyDescent="0.25">
      <c r="A19" s="11" t="s">
        <v>64</v>
      </c>
      <c r="B19" s="11"/>
      <c r="C19" s="11"/>
      <c r="D19" s="14"/>
      <c r="E19" s="14"/>
      <c r="F19" s="14"/>
      <c r="G19" s="14"/>
      <c r="H19" s="14"/>
      <c r="I19" s="14"/>
      <c r="J19" s="14"/>
      <c r="K19" s="14"/>
      <c r="L19" s="14"/>
    </row>
    <row r="20" spans="1:12" x14ac:dyDescent="0.25">
      <c r="A20" s="11" t="s">
        <v>65</v>
      </c>
      <c r="B20" s="11"/>
      <c r="C20" s="11"/>
      <c r="D20" s="14"/>
      <c r="E20" s="14"/>
      <c r="F20" s="14"/>
      <c r="G20" s="14"/>
      <c r="H20" s="14"/>
      <c r="I20" s="14"/>
      <c r="J20" s="14"/>
      <c r="K20" s="14"/>
      <c r="L20" s="14"/>
    </row>
    <row r="21" spans="1:12" x14ac:dyDescent="0.25">
      <c r="A21" s="11" t="s">
        <v>66</v>
      </c>
      <c r="B21" s="11"/>
      <c r="C21" s="11"/>
      <c r="D21" s="11">
        <v>257829</v>
      </c>
      <c r="E21" s="11"/>
      <c r="G21" s="14"/>
      <c r="H21" s="14"/>
      <c r="I21" s="14"/>
      <c r="J21" s="11">
        <v>229935</v>
      </c>
      <c r="K21" s="11"/>
    </row>
    <row r="22" spans="1:12" x14ac:dyDescent="0.25">
      <c r="A22" s="11" t="s">
        <v>67</v>
      </c>
      <c r="B22" s="11"/>
      <c r="C22" s="11"/>
      <c r="D22" s="11">
        <v>21686</v>
      </c>
      <c r="E22" s="11"/>
      <c r="G22" s="14"/>
      <c r="H22" s="14"/>
      <c r="I22" s="14"/>
      <c r="J22" s="11">
        <v>21168</v>
      </c>
      <c r="K22" s="11"/>
    </row>
    <row r="23" spans="1:12" x14ac:dyDescent="0.25">
      <c r="A23" s="11" t="s">
        <v>68</v>
      </c>
      <c r="B23" s="11"/>
      <c r="C23" s="11"/>
      <c r="D23" s="11">
        <v>208111</v>
      </c>
      <c r="E23" s="11"/>
      <c r="G23" s="14"/>
      <c r="H23" s="14"/>
      <c r="I23" s="14"/>
      <c r="J23" s="11">
        <v>226299</v>
      </c>
      <c r="K23" s="11"/>
    </row>
    <row r="24" spans="1:12" x14ac:dyDescent="0.25">
      <c r="A24" s="11" t="s">
        <v>69</v>
      </c>
      <c r="B24" s="11"/>
      <c r="C24" s="11"/>
      <c r="D24" s="11">
        <v>142804</v>
      </c>
      <c r="E24" s="11"/>
      <c r="G24" s="14"/>
      <c r="H24" s="14"/>
      <c r="I24" s="14"/>
      <c r="J24" s="11">
        <v>172034</v>
      </c>
      <c r="K24" s="11"/>
    </row>
    <row r="25" spans="1:12" x14ac:dyDescent="0.25">
      <c r="A25" s="11" t="s">
        <v>70</v>
      </c>
      <c r="B25" s="11"/>
      <c r="C25" s="11"/>
      <c r="D25" s="11">
        <v>630430</v>
      </c>
      <c r="E25" s="11"/>
      <c r="G25" s="14"/>
      <c r="H25" s="14"/>
      <c r="I25" s="14"/>
      <c r="J25" s="11">
        <v>649436</v>
      </c>
      <c r="K25" s="11"/>
    </row>
    <row r="26" spans="1:12" x14ac:dyDescent="0.25">
      <c r="A26" s="11" t="s">
        <v>71</v>
      </c>
      <c r="B26" s="11"/>
      <c r="C26" s="11"/>
      <c r="D26" s="11">
        <v>294474</v>
      </c>
      <c r="E26" s="11"/>
      <c r="G26" s="14"/>
      <c r="H26" s="14"/>
      <c r="I26" s="14"/>
      <c r="J26" s="11">
        <v>224391</v>
      </c>
      <c r="K26" s="11"/>
    </row>
    <row r="27" spans="1:12" x14ac:dyDescent="0.25">
      <c r="A27" s="11" t="s">
        <v>72</v>
      </c>
      <c r="B27" s="11"/>
      <c r="C27" s="11"/>
      <c r="D27" s="11">
        <v>41230</v>
      </c>
      <c r="E27" s="11"/>
      <c r="G27" s="14"/>
      <c r="H27" s="14"/>
      <c r="I27" s="14"/>
      <c r="J27" s="11">
        <v>45924</v>
      </c>
      <c r="K27" s="11"/>
    </row>
    <row r="28" spans="1:12" x14ac:dyDescent="0.25">
      <c r="A28" s="11" t="s">
        <v>73</v>
      </c>
      <c r="B28" s="11"/>
      <c r="C28" s="11"/>
      <c r="D28" s="11">
        <v>131761</v>
      </c>
      <c r="E28" s="11"/>
      <c r="G28" s="14"/>
      <c r="H28" s="14"/>
      <c r="I28" s="14"/>
      <c r="J28" s="11">
        <v>131801</v>
      </c>
      <c r="K28" s="11"/>
    </row>
    <row r="29" spans="1:12" x14ac:dyDescent="0.25">
      <c r="A29" s="11"/>
      <c r="B29" s="11"/>
      <c r="C29" s="11"/>
      <c r="D29" s="11"/>
      <c r="E29" s="11"/>
      <c r="G29" s="14"/>
      <c r="H29" s="14"/>
      <c r="I29" s="14"/>
      <c r="J29" s="11"/>
      <c r="K29" s="11"/>
    </row>
    <row r="30" spans="1:12" x14ac:dyDescent="0.25">
      <c r="A30" s="11" t="s">
        <v>74</v>
      </c>
      <c r="B30" s="11"/>
      <c r="C30" s="11"/>
      <c r="D30" s="11">
        <v>1097895</v>
      </c>
      <c r="E30" s="11"/>
      <c r="G30" s="14"/>
      <c r="H30" s="14"/>
      <c r="I30" s="14"/>
      <c r="J30" s="11">
        <v>1051552</v>
      </c>
      <c r="K30" s="11"/>
    </row>
    <row r="31" spans="1:12" x14ac:dyDescent="0.25">
      <c r="A31" s="11" t="s">
        <v>75</v>
      </c>
      <c r="B31" s="11"/>
      <c r="C31" s="11"/>
      <c r="D31" s="14"/>
      <c r="E31" s="14"/>
      <c r="F31" s="14"/>
      <c r="G31" s="14"/>
      <c r="H31" s="14"/>
      <c r="I31" s="14"/>
      <c r="J31" s="14"/>
      <c r="K31" s="14"/>
      <c r="L31" s="14"/>
    </row>
    <row r="32" spans="1:12" x14ac:dyDescent="0.25">
      <c r="A32" s="11" t="s">
        <v>76</v>
      </c>
      <c r="B32" s="11"/>
      <c r="C32" s="11"/>
      <c r="D32" s="14"/>
      <c r="E32" s="14"/>
      <c r="F32" s="14"/>
      <c r="G32" s="14"/>
      <c r="H32" s="14"/>
      <c r="I32" s="14"/>
      <c r="J32" s="14"/>
      <c r="K32" s="14"/>
      <c r="L32" s="14"/>
    </row>
    <row r="33" spans="1:12" x14ac:dyDescent="0.25">
      <c r="A33" s="11" t="s">
        <v>77</v>
      </c>
      <c r="B33" s="11"/>
      <c r="C33" s="11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11" t="s">
        <v>203</v>
      </c>
      <c r="B34" s="11"/>
      <c r="C34" s="11"/>
      <c r="D34" s="11" t="s">
        <v>78</v>
      </c>
      <c r="E34" s="11"/>
      <c r="G34" s="14"/>
      <c r="H34" s="14"/>
      <c r="I34" s="14"/>
      <c r="J34" s="11" t="s">
        <v>78</v>
      </c>
      <c r="K34" s="11"/>
    </row>
    <row r="35" spans="1:12" x14ac:dyDescent="0.25">
      <c r="A35" s="11" t="s">
        <v>210</v>
      </c>
      <c r="B35" s="11"/>
      <c r="C35" s="11"/>
      <c r="D35" s="11">
        <v>58</v>
      </c>
      <c r="E35" s="11"/>
      <c r="G35" s="14"/>
      <c r="H35" s="14"/>
      <c r="I35" s="14"/>
      <c r="J35" s="11">
        <v>48</v>
      </c>
      <c r="K35" s="11"/>
    </row>
    <row r="36" spans="1:12" x14ac:dyDescent="0.25">
      <c r="A36" s="11" t="s">
        <v>211</v>
      </c>
      <c r="B36" s="11"/>
      <c r="C36" s="11"/>
      <c r="D36" s="11" t="s">
        <v>78</v>
      </c>
      <c r="E36" s="11"/>
      <c r="G36" s="14"/>
      <c r="H36" s="14"/>
      <c r="I36" s="14"/>
      <c r="J36" s="11">
        <v>9</v>
      </c>
      <c r="K36" s="11"/>
    </row>
    <row r="37" spans="1:12" x14ac:dyDescent="0.25">
      <c r="A37" s="11" t="s">
        <v>79</v>
      </c>
      <c r="B37" s="11"/>
      <c r="C37" s="11"/>
      <c r="D37" s="11">
        <v>1059405</v>
      </c>
      <c r="E37" s="11"/>
      <c r="G37" s="14"/>
      <c r="H37" s="14"/>
      <c r="I37" s="14"/>
      <c r="J37" s="11">
        <v>849502</v>
      </c>
      <c r="K37" s="11"/>
    </row>
    <row r="38" spans="1:12" x14ac:dyDescent="0.25">
      <c r="A38" s="11" t="s">
        <v>80</v>
      </c>
      <c r="B38" s="11"/>
      <c r="C38" s="11"/>
      <c r="D38" s="11">
        <v>463874</v>
      </c>
      <c r="E38" s="11"/>
      <c r="G38" s="14"/>
      <c r="H38" s="14"/>
      <c r="I38" s="14"/>
      <c r="J38" s="11">
        <v>755007</v>
      </c>
      <c r="K38" s="11"/>
    </row>
    <row r="39" spans="1:12" x14ac:dyDescent="0.25">
      <c r="A39" s="11" t="s">
        <v>81</v>
      </c>
      <c r="B39" s="11"/>
      <c r="C39" s="11"/>
      <c r="D39" s="11">
        <v>-17340</v>
      </c>
      <c r="E39" s="11"/>
      <c r="G39" s="14"/>
      <c r="H39" s="14"/>
      <c r="I39" s="14"/>
      <c r="J39" s="11">
        <v>-17725</v>
      </c>
      <c r="K39" s="11"/>
    </row>
    <row r="40" spans="1:12" x14ac:dyDescent="0.25">
      <c r="A40" s="11" t="s">
        <v>209</v>
      </c>
      <c r="B40" s="11"/>
      <c r="C40" s="11"/>
      <c r="D40" s="11">
        <v>-115488</v>
      </c>
      <c r="E40" s="11"/>
      <c r="G40" s="14"/>
      <c r="H40" s="14"/>
      <c r="I40" s="14"/>
      <c r="J40" s="11">
        <v>-107677</v>
      </c>
      <c r="K40" s="11"/>
    </row>
    <row r="41" spans="1:12" x14ac:dyDescent="0.25">
      <c r="A41" s="11" t="s">
        <v>82</v>
      </c>
      <c r="B41" s="11"/>
      <c r="C41" s="11"/>
      <c r="D41" s="11">
        <v>1390509</v>
      </c>
      <c r="E41" s="11"/>
      <c r="G41" s="14"/>
      <c r="H41" s="14"/>
      <c r="I41" s="14"/>
      <c r="J41" s="11">
        <v>1479164</v>
      </c>
      <c r="K41" s="11"/>
    </row>
    <row r="42" spans="1:12" x14ac:dyDescent="0.25">
      <c r="A42" s="11" t="s">
        <v>83</v>
      </c>
      <c r="B42" s="11"/>
      <c r="C42" s="11"/>
      <c r="D42" s="11">
        <v>12990</v>
      </c>
      <c r="E42" s="11"/>
      <c r="G42" s="14"/>
      <c r="H42" s="14"/>
      <c r="I42" s="14"/>
      <c r="J42" s="11">
        <v>13418</v>
      </c>
      <c r="K42" s="11"/>
    </row>
    <row r="43" spans="1:12" x14ac:dyDescent="0.25">
      <c r="A43" s="11" t="s">
        <v>171</v>
      </c>
      <c r="B43" s="11"/>
      <c r="C43" s="11"/>
      <c r="D43" s="11">
        <v>1403499</v>
      </c>
      <c r="E43" s="11"/>
      <c r="G43" s="14"/>
      <c r="H43" s="14"/>
      <c r="I43" s="14"/>
      <c r="J43" s="11">
        <v>1492582</v>
      </c>
      <c r="K43" s="11"/>
    </row>
    <row r="44" spans="1:12" x14ac:dyDescent="0.25">
      <c r="A44" s="11" t="s">
        <v>84</v>
      </c>
      <c r="B44" s="11"/>
      <c r="C44" s="11"/>
      <c r="D44" s="11">
        <v>2501394</v>
      </c>
      <c r="E44" s="11"/>
      <c r="G44" s="14"/>
      <c r="H44" s="14"/>
      <c r="I44" s="14"/>
      <c r="J44" s="11">
        <v>2544134</v>
      </c>
      <c r="K44" s="11"/>
    </row>
    <row r="46" spans="1:12" x14ac:dyDescent="0.25">
      <c r="D46" s="12">
        <f>SUM(D6:D44)</f>
        <v>15792822</v>
      </c>
      <c r="J46" s="12">
        <f>SUM(J6:J44)</f>
        <v>16166783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50BB-59A7-4353-8C1A-136DFB901282}">
  <sheetPr>
    <tabColor theme="5" tint="0.59999389629810485"/>
  </sheetPr>
  <dimension ref="A2:L46"/>
  <sheetViews>
    <sheetView workbookViewId="0"/>
  </sheetViews>
  <sheetFormatPr defaultRowHeight="15" x14ac:dyDescent="0.25"/>
  <cols>
    <col min="1" max="3" width="9.140625" style="12"/>
    <col min="4" max="4" width="14.28515625" style="12" bestFit="1" customWidth="1"/>
    <col min="5" max="9" width="9.140625" style="12"/>
    <col min="10" max="10" width="14.28515625" style="12" bestFit="1" customWidth="1"/>
    <col min="11" max="16384" width="9.140625" style="12"/>
  </cols>
  <sheetData>
    <row r="2" spans="1:12" x14ac:dyDescent="0.25">
      <c r="A2" s="11" t="s">
        <v>48</v>
      </c>
      <c r="B2" s="11"/>
      <c r="C2" s="11"/>
      <c r="D2" s="11"/>
      <c r="E2" s="11"/>
      <c r="F2" s="11"/>
    </row>
    <row r="4" spans="1:12" ht="39.950000000000003" customHeight="1" x14ac:dyDescent="0.25">
      <c r="A4" s="14"/>
      <c r="B4" s="14"/>
      <c r="C4" s="14"/>
      <c r="D4" s="13" t="s">
        <v>146</v>
      </c>
      <c r="E4" s="13"/>
      <c r="F4" s="13"/>
      <c r="G4" s="14"/>
      <c r="H4" s="14"/>
      <c r="I4" s="14"/>
      <c r="J4" s="13" t="s">
        <v>50</v>
      </c>
      <c r="K4" s="13"/>
      <c r="L4" s="13"/>
    </row>
    <row r="5" spans="1:12" x14ac:dyDescent="0.25">
      <c r="A5" s="14"/>
      <c r="B5" s="14"/>
      <c r="C5" s="14"/>
      <c r="D5" s="11" t="s">
        <v>51</v>
      </c>
      <c r="E5" s="11"/>
      <c r="F5" s="11"/>
      <c r="G5" s="14"/>
      <c r="H5" s="14"/>
      <c r="I5" s="14"/>
      <c r="J5" s="14"/>
      <c r="K5" s="14"/>
      <c r="L5" s="14"/>
    </row>
    <row r="6" spans="1:12" x14ac:dyDescent="0.25">
      <c r="A6" s="11" t="s">
        <v>52</v>
      </c>
      <c r="B6" s="11"/>
      <c r="C6" s="11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1" t="s">
        <v>53</v>
      </c>
      <c r="B7" s="11"/>
      <c r="C7" s="11"/>
      <c r="D7" s="14"/>
      <c r="E7" s="14"/>
      <c r="F7" s="14"/>
      <c r="G7" s="14"/>
      <c r="H7" s="14"/>
      <c r="I7" s="14"/>
      <c r="J7" s="14"/>
      <c r="K7" s="14"/>
      <c r="L7" s="14"/>
    </row>
    <row r="8" spans="1:12" x14ac:dyDescent="0.25">
      <c r="A8" s="11" t="s">
        <v>54</v>
      </c>
      <c r="B8" s="11"/>
      <c r="C8" s="11"/>
      <c r="D8" s="11">
        <v>25805</v>
      </c>
      <c r="E8" s="11"/>
      <c r="G8" s="14"/>
      <c r="H8" s="14"/>
      <c r="I8" s="14"/>
      <c r="J8" s="11">
        <v>50052</v>
      </c>
      <c r="K8" s="11"/>
    </row>
    <row r="9" spans="1:12" x14ac:dyDescent="0.25">
      <c r="A9" s="11" t="s">
        <v>120</v>
      </c>
      <c r="B9" s="11"/>
      <c r="C9" s="11"/>
      <c r="D9" s="11">
        <v>414280</v>
      </c>
      <c r="E9" s="11"/>
      <c r="G9" s="14"/>
      <c r="H9" s="14"/>
      <c r="I9" s="14"/>
      <c r="J9" s="11">
        <v>435421</v>
      </c>
      <c r="K9" s="11"/>
    </row>
    <row r="10" spans="1:12" x14ac:dyDescent="0.25">
      <c r="A10" s="11" t="s">
        <v>55</v>
      </c>
      <c r="B10" s="11"/>
      <c r="C10" s="11"/>
      <c r="D10" s="11">
        <v>709362</v>
      </c>
      <c r="E10" s="11"/>
      <c r="G10" s="14"/>
      <c r="H10" s="14"/>
      <c r="I10" s="14"/>
      <c r="J10" s="11">
        <v>726521</v>
      </c>
      <c r="K10" s="11"/>
    </row>
    <row r="11" spans="1:12" x14ac:dyDescent="0.25">
      <c r="A11" s="11" t="s">
        <v>56</v>
      </c>
      <c r="B11" s="11"/>
      <c r="C11" s="11"/>
      <c r="D11" s="11">
        <v>121519</v>
      </c>
      <c r="E11" s="11"/>
      <c r="G11" s="14"/>
      <c r="H11" s="14"/>
      <c r="I11" s="14"/>
      <c r="J11" s="11">
        <v>105519</v>
      </c>
      <c r="K11" s="11"/>
    </row>
    <row r="12" spans="1:12" x14ac:dyDescent="0.25">
      <c r="A12" s="11" t="s">
        <v>57</v>
      </c>
      <c r="B12" s="11"/>
      <c r="C12" s="11"/>
      <c r="D12" s="11">
        <v>1270966</v>
      </c>
      <c r="E12" s="11"/>
      <c r="G12" s="14"/>
      <c r="H12" s="14"/>
      <c r="I12" s="14"/>
      <c r="J12" s="11">
        <v>1317513</v>
      </c>
      <c r="K12" s="11"/>
    </row>
    <row r="13" spans="1:12" x14ac:dyDescent="0.25">
      <c r="A13" s="11" t="s">
        <v>58</v>
      </c>
      <c r="B13" s="11"/>
      <c r="C13" s="11"/>
      <c r="D13" s="11">
        <v>322091</v>
      </c>
      <c r="E13" s="11"/>
      <c r="G13" s="14"/>
      <c r="H13" s="14"/>
      <c r="I13" s="14"/>
      <c r="J13" s="11">
        <v>319660</v>
      </c>
      <c r="K13" s="11"/>
    </row>
    <row r="14" spans="1:12" x14ac:dyDescent="0.25">
      <c r="A14" s="11" t="s">
        <v>59</v>
      </c>
      <c r="B14" s="11"/>
      <c r="C14" s="11"/>
      <c r="D14" s="11">
        <v>718318</v>
      </c>
      <c r="E14" s="11"/>
      <c r="G14" s="14"/>
      <c r="H14" s="14"/>
      <c r="I14" s="14"/>
      <c r="J14" s="11">
        <v>718174</v>
      </c>
      <c r="K14" s="11"/>
    </row>
    <row r="15" spans="1:12" x14ac:dyDescent="0.25">
      <c r="A15" s="11" t="s">
        <v>60</v>
      </c>
      <c r="B15" s="11"/>
      <c r="C15" s="11"/>
      <c r="D15" s="11">
        <v>106890</v>
      </c>
      <c r="E15" s="11"/>
      <c r="G15" s="14"/>
      <c r="H15" s="14"/>
      <c r="I15" s="14"/>
      <c r="J15" s="11">
        <v>110641</v>
      </c>
      <c r="K15" s="11"/>
    </row>
    <row r="16" spans="1:12" x14ac:dyDescent="0.25">
      <c r="A16" s="11" t="s">
        <v>61</v>
      </c>
      <c r="B16" s="11"/>
      <c r="C16" s="11"/>
      <c r="D16" s="11">
        <v>61076</v>
      </c>
      <c r="E16" s="11"/>
      <c r="G16" s="14"/>
      <c r="H16" s="14"/>
      <c r="I16" s="14"/>
      <c r="J16" s="11">
        <v>65909</v>
      </c>
      <c r="K16" s="11"/>
    </row>
    <row r="17" spans="1:12" x14ac:dyDescent="0.25">
      <c r="A17" s="11" t="s">
        <v>62</v>
      </c>
      <c r="B17" s="11"/>
      <c r="C17" s="11"/>
      <c r="D17" s="11">
        <v>14383</v>
      </c>
      <c r="E17" s="11"/>
      <c r="G17" s="14"/>
      <c r="H17" s="14"/>
      <c r="I17" s="14"/>
      <c r="J17" s="11">
        <v>12237</v>
      </c>
      <c r="K17" s="11"/>
    </row>
    <row r="18" spans="1:12" x14ac:dyDescent="0.25">
      <c r="A18" s="11" t="s">
        <v>63</v>
      </c>
      <c r="B18" s="11"/>
      <c r="C18" s="11"/>
      <c r="D18" s="11">
        <v>2493724</v>
      </c>
      <c r="E18" s="11"/>
      <c r="G18" s="14"/>
      <c r="H18" s="14"/>
      <c r="I18" s="14"/>
      <c r="J18" s="11">
        <v>2544134</v>
      </c>
      <c r="K18" s="11"/>
    </row>
    <row r="19" spans="1:12" x14ac:dyDescent="0.25">
      <c r="A19" s="11" t="s">
        <v>64</v>
      </c>
      <c r="B19" s="11"/>
      <c r="C19" s="11"/>
      <c r="D19" s="14"/>
      <c r="E19" s="14"/>
      <c r="F19" s="14"/>
      <c r="G19" s="14"/>
      <c r="H19" s="14"/>
      <c r="I19" s="14"/>
      <c r="J19" s="14"/>
      <c r="K19" s="14"/>
      <c r="L19" s="14"/>
    </row>
    <row r="20" spans="1:12" x14ac:dyDescent="0.25">
      <c r="A20" s="11" t="s">
        <v>65</v>
      </c>
      <c r="B20" s="11"/>
      <c r="C20" s="11"/>
      <c r="D20" s="14"/>
      <c r="E20" s="14"/>
      <c r="F20" s="14"/>
      <c r="G20" s="14"/>
      <c r="H20" s="14"/>
      <c r="I20" s="14"/>
      <c r="J20" s="14"/>
      <c r="K20" s="14"/>
      <c r="L20" s="14"/>
    </row>
    <row r="21" spans="1:12" x14ac:dyDescent="0.25">
      <c r="A21" s="11" t="s">
        <v>66</v>
      </c>
      <c r="B21" s="11"/>
      <c r="C21" s="11"/>
      <c r="D21" s="11">
        <v>244048</v>
      </c>
      <c r="E21" s="11"/>
      <c r="G21" s="14"/>
      <c r="H21" s="14"/>
      <c r="I21" s="14"/>
      <c r="J21" s="11">
        <v>229935</v>
      </c>
      <c r="K21" s="11"/>
    </row>
    <row r="22" spans="1:12" x14ac:dyDescent="0.25">
      <c r="A22" s="11" t="s">
        <v>67</v>
      </c>
      <c r="B22" s="11"/>
      <c r="C22" s="11"/>
      <c r="D22" s="11">
        <v>20694</v>
      </c>
      <c r="E22" s="11"/>
      <c r="G22" s="14"/>
      <c r="H22" s="14"/>
      <c r="I22" s="14"/>
      <c r="J22" s="11">
        <v>21168</v>
      </c>
      <c r="K22" s="11"/>
    </row>
    <row r="23" spans="1:12" x14ac:dyDescent="0.25">
      <c r="A23" s="11" t="s">
        <v>68</v>
      </c>
      <c r="B23" s="11"/>
      <c r="C23" s="11"/>
      <c r="D23" s="11">
        <v>188976</v>
      </c>
      <c r="E23" s="11"/>
      <c r="G23" s="14"/>
      <c r="H23" s="14"/>
      <c r="I23" s="14"/>
      <c r="J23" s="11">
        <v>226299</v>
      </c>
      <c r="K23" s="11"/>
    </row>
    <row r="24" spans="1:12" x14ac:dyDescent="0.25">
      <c r="A24" s="11" t="s">
        <v>69</v>
      </c>
      <c r="B24" s="11"/>
      <c r="C24" s="11"/>
      <c r="D24" s="11">
        <v>174140</v>
      </c>
      <c r="E24" s="11"/>
      <c r="G24" s="14"/>
      <c r="H24" s="14"/>
      <c r="I24" s="14"/>
      <c r="J24" s="11">
        <v>172034</v>
      </c>
      <c r="K24" s="11"/>
    </row>
    <row r="25" spans="1:12" x14ac:dyDescent="0.25">
      <c r="A25" s="11" t="s">
        <v>70</v>
      </c>
      <c r="B25" s="11"/>
      <c r="C25" s="11"/>
      <c r="D25" s="11">
        <v>627858</v>
      </c>
      <c r="E25" s="11"/>
      <c r="G25" s="14"/>
      <c r="H25" s="14"/>
      <c r="I25" s="14"/>
      <c r="J25" s="11">
        <v>649436</v>
      </c>
      <c r="K25" s="11"/>
    </row>
    <row r="26" spans="1:12" x14ac:dyDescent="0.25">
      <c r="A26" s="11" t="s">
        <v>71</v>
      </c>
      <c r="B26" s="11"/>
      <c r="C26" s="11"/>
      <c r="D26" s="11">
        <v>294430</v>
      </c>
      <c r="E26" s="11"/>
      <c r="G26" s="14"/>
      <c r="H26" s="14"/>
      <c r="I26" s="14"/>
      <c r="J26" s="11">
        <v>224391</v>
      </c>
      <c r="K26" s="11"/>
    </row>
    <row r="27" spans="1:12" x14ac:dyDescent="0.25">
      <c r="A27" s="11" t="s">
        <v>72</v>
      </c>
      <c r="B27" s="11"/>
      <c r="C27" s="11"/>
      <c r="D27" s="11">
        <v>41410</v>
      </c>
      <c r="E27" s="11"/>
      <c r="G27" s="14"/>
      <c r="H27" s="14"/>
      <c r="I27" s="14"/>
      <c r="J27" s="11">
        <v>45924</v>
      </c>
      <c r="K27" s="11"/>
    </row>
    <row r="28" spans="1:12" x14ac:dyDescent="0.25">
      <c r="A28" s="11" t="s">
        <v>73</v>
      </c>
      <c r="B28" s="11"/>
      <c r="C28" s="11"/>
      <c r="D28" s="11">
        <v>131801</v>
      </c>
      <c r="E28" s="11"/>
      <c r="G28" s="14"/>
      <c r="H28" s="14"/>
      <c r="I28" s="14"/>
      <c r="J28" s="11">
        <v>131801</v>
      </c>
      <c r="K28" s="11"/>
    </row>
    <row r="29" spans="1:12" x14ac:dyDescent="0.25">
      <c r="A29" s="11"/>
      <c r="B29" s="11"/>
      <c r="C29" s="11"/>
      <c r="D29" s="11"/>
      <c r="E29" s="11"/>
      <c r="G29" s="14"/>
      <c r="H29" s="14"/>
      <c r="I29" s="14"/>
      <c r="J29" s="11"/>
      <c r="K29" s="11"/>
    </row>
    <row r="30" spans="1:12" x14ac:dyDescent="0.25">
      <c r="A30" s="11" t="s">
        <v>74</v>
      </c>
      <c r="B30" s="11"/>
      <c r="C30" s="11"/>
      <c r="D30" s="11">
        <v>1095499</v>
      </c>
      <c r="E30" s="11"/>
      <c r="G30" s="14"/>
      <c r="H30" s="14"/>
      <c r="I30" s="14"/>
      <c r="J30" s="11">
        <v>1051552</v>
      </c>
      <c r="K30" s="11"/>
    </row>
    <row r="31" spans="1:12" x14ac:dyDescent="0.25">
      <c r="A31" s="11" t="s">
        <v>75</v>
      </c>
      <c r="B31" s="11"/>
      <c r="C31" s="11"/>
      <c r="D31" s="14"/>
      <c r="E31" s="14"/>
      <c r="F31" s="14"/>
      <c r="G31" s="14"/>
      <c r="H31" s="14"/>
      <c r="I31" s="14"/>
      <c r="J31" s="14"/>
      <c r="K31" s="14"/>
      <c r="L31" s="14"/>
    </row>
    <row r="32" spans="1:12" x14ac:dyDescent="0.25">
      <c r="A32" s="11" t="s">
        <v>76</v>
      </c>
      <c r="B32" s="11"/>
      <c r="C32" s="11"/>
      <c r="D32" s="14"/>
      <c r="E32" s="14"/>
      <c r="F32" s="14"/>
      <c r="G32" s="14"/>
      <c r="H32" s="14"/>
      <c r="I32" s="14"/>
      <c r="J32" s="14"/>
      <c r="K32" s="14"/>
      <c r="L32" s="14"/>
    </row>
    <row r="33" spans="1:12" x14ac:dyDescent="0.25">
      <c r="A33" s="11" t="s">
        <v>77</v>
      </c>
      <c r="B33" s="11"/>
      <c r="C33" s="11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11" t="s">
        <v>203</v>
      </c>
      <c r="B34" s="11"/>
      <c r="C34" s="11"/>
      <c r="D34" s="11" t="s">
        <v>78</v>
      </c>
      <c r="E34" s="11"/>
      <c r="G34" s="14"/>
      <c r="H34" s="14"/>
      <c r="I34" s="14"/>
      <c r="J34" s="11" t="s">
        <v>78</v>
      </c>
      <c r="K34" s="11"/>
    </row>
    <row r="35" spans="1:12" x14ac:dyDescent="0.25">
      <c r="A35" s="11" t="s">
        <v>210</v>
      </c>
      <c r="B35" s="11"/>
      <c r="C35" s="11"/>
      <c r="D35" s="11">
        <v>58</v>
      </c>
      <c r="E35" s="11"/>
      <c r="G35" s="14"/>
      <c r="H35" s="14"/>
      <c r="I35" s="14"/>
      <c r="J35" s="11">
        <v>48</v>
      </c>
      <c r="K35" s="11"/>
    </row>
    <row r="36" spans="1:12" x14ac:dyDescent="0.25">
      <c r="A36" s="11" t="s">
        <v>211</v>
      </c>
      <c r="B36" s="11"/>
      <c r="C36" s="11"/>
      <c r="D36" s="11" t="s">
        <v>78</v>
      </c>
      <c r="E36" s="11"/>
      <c r="G36" s="14"/>
      <c r="H36" s="14"/>
      <c r="I36" s="14"/>
      <c r="J36" s="11">
        <v>9</v>
      </c>
      <c r="K36" s="11"/>
    </row>
    <row r="37" spans="1:12" x14ac:dyDescent="0.25">
      <c r="A37" s="11" t="s">
        <v>79</v>
      </c>
      <c r="B37" s="11"/>
      <c r="C37" s="11"/>
      <c r="D37" s="11">
        <v>1052729</v>
      </c>
      <c r="E37" s="11"/>
      <c r="G37" s="14"/>
      <c r="H37" s="14"/>
      <c r="I37" s="14"/>
      <c r="J37" s="11">
        <v>849502</v>
      </c>
      <c r="K37" s="11"/>
    </row>
    <row r="38" spans="1:12" x14ac:dyDescent="0.25">
      <c r="A38" s="11" t="s">
        <v>80</v>
      </c>
      <c r="B38" s="11"/>
      <c r="C38" s="11"/>
      <c r="D38" s="11">
        <v>464962</v>
      </c>
      <c r="E38" s="11"/>
      <c r="G38" s="14"/>
      <c r="H38" s="14"/>
      <c r="I38" s="14"/>
      <c r="J38" s="11">
        <v>755007</v>
      </c>
      <c r="K38" s="11"/>
    </row>
    <row r="39" spans="1:12" x14ac:dyDescent="0.25">
      <c r="A39" s="11" t="s">
        <v>81</v>
      </c>
      <c r="B39" s="11"/>
      <c r="C39" s="11"/>
      <c r="D39" s="11">
        <v>-17277</v>
      </c>
      <c r="E39" s="11"/>
      <c r="G39" s="14"/>
      <c r="H39" s="14"/>
      <c r="I39" s="14"/>
      <c r="J39" s="11">
        <v>-17725</v>
      </c>
      <c r="K39" s="11"/>
    </row>
    <row r="40" spans="1:12" x14ac:dyDescent="0.25">
      <c r="A40" s="11" t="s">
        <v>209</v>
      </c>
      <c r="B40" s="11"/>
      <c r="C40" s="11"/>
      <c r="D40" s="11">
        <v>-115399</v>
      </c>
      <c r="E40" s="11"/>
      <c r="G40" s="14"/>
      <c r="H40" s="14"/>
      <c r="I40" s="14"/>
      <c r="J40" s="11">
        <v>-107677</v>
      </c>
      <c r="K40" s="11"/>
    </row>
    <row r="41" spans="1:12" x14ac:dyDescent="0.25">
      <c r="A41" s="11" t="s">
        <v>82</v>
      </c>
      <c r="B41" s="11"/>
      <c r="C41" s="11"/>
      <c r="D41" s="11">
        <v>1385073</v>
      </c>
      <c r="E41" s="11"/>
      <c r="G41" s="14"/>
      <c r="H41" s="14"/>
      <c r="I41" s="14"/>
      <c r="J41" s="11">
        <v>1479164</v>
      </c>
      <c r="K41" s="11"/>
    </row>
    <row r="42" spans="1:12" x14ac:dyDescent="0.25">
      <c r="A42" s="11" t="s">
        <v>83</v>
      </c>
      <c r="B42" s="11"/>
      <c r="C42" s="11"/>
      <c r="D42" s="11">
        <v>13152</v>
      </c>
      <c r="E42" s="11"/>
      <c r="G42" s="14"/>
      <c r="H42" s="14"/>
      <c r="I42" s="14"/>
      <c r="J42" s="11">
        <v>13418</v>
      </c>
      <c r="K42" s="11"/>
    </row>
    <row r="43" spans="1:12" x14ac:dyDescent="0.25">
      <c r="A43" s="11" t="s">
        <v>171</v>
      </c>
      <c r="B43" s="11"/>
      <c r="C43" s="11"/>
      <c r="D43" s="11">
        <v>1398225</v>
      </c>
      <c r="E43" s="11"/>
      <c r="G43" s="14"/>
      <c r="H43" s="14"/>
      <c r="I43" s="14"/>
      <c r="J43" s="11">
        <v>1492582</v>
      </c>
      <c r="K43" s="11"/>
    </row>
    <row r="44" spans="1:12" x14ac:dyDescent="0.25">
      <c r="A44" s="11" t="s">
        <v>84</v>
      </c>
      <c r="B44" s="11"/>
      <c r="C44" s="11"/>
      <c r="D44" s="11">
        <v>2493724</v>
      </c>
      <c r="E44" s="11"/>
      <c r="G44" s="14"/>
      <c r="H44" s="14"/>
      <c r="I44" s="14"/>
      <c r="J44" s="11">
        <v>2544134</v>
      </c>
      <c r="K44" s="11"/>
    </row>
    <row r="46" spans="1:12" x14ac:dyDescent="0.25">
      <c r="D46" s="12">
        <f>SUM(D6:D44)</f>
        <v>15752517</v>
      </c>
      <c r="J46" s="12">
        <f>SUM(J6:J44)</f>
        <v>16166783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97FD-6A34-464C-9813-706FEDAD5A35}">
  <sheetPr>
    <tabColor theme="5" tint="0.59999389629810485"/>
  </sheetPr>
  <dimension ref="A2:L45"/>
  <sheetViews>
    <sheetView workbookViewId="0"/>
  </sheetViews>
  <sheetFormatPr defaultRowHeight="15" x14ac:dyDescent="0.25"/>
  <cols>
    <col min="1" max="3" width="9.140625" style="12"/>
    <col min="4" max="4" width="14.28515625" style="12" bestFit="1" customWidth="1"/>
    <col min="5" max="9" width="9.140625" style="12"/>
    <col min="10" max="10" width="14.28515625" style="12" bestFit="1" customWidth="1"/>
    <col min="11" max="16384" width="9.140625" style="12"/>
  </cols>
  <sheetData>
    <row r="2" spans="1:12" x14ac:dyDescent="0.25">
      <c r="A2" s="11" t="s">
        <v>149</v>
      </c>
      <c r="B2" s="11"/>
      <c r="C2" s="11"/>
      <c r="D2" s="11"/>
      <c r="E2" s="11"/>
      <c r="F2" s="11"/>
    </row>
    <row r="4" spans="1:12" ht="39.950000000000003" customHeight="1" x14ac:dyDescent="0.25">
      <c r="A4" s="14"/>
      <c r="B4" s="14"/>
      <c r="C4" s="14"/>
      <c r="D4" s="13" t="s">
        <v>50</v>
      </c>
      <c r="E4" s="13"/>
      <c r="F4" s="13"/>
      <c r="G4" s="14"/>
      <c r="H4" s="14"/>
      <c r="I4" s="14"/>
      <c r="J4" s="13" t="s">
        <v>150</v>
      </c>
      <c r="K4" s="13"/>
      <c r="L4" s="13"/>
    </row>
    <row r="5" spans="1:12" x14ac:dyDescent="0.25">
      <c r="A5" s="11" t="s">
        <v>52</v>
      </c>
      <c r="B5" s="11"/>
      <c r="C5" s="11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25">
      <c r="A6" s="11" t="s">
        <v>53</v>
      </c>
      <c r="B6" s="11"/>
      <c r="C6" s="11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1" t="s">
        <v>54</v>
      </c>
      <c r="B7" s="11"/>
      <c r="C7" s="11"/>
      <c r="D7" s="11">
        <v>50052</v>
      </c>
      <c r="E7" s="11"/>
      <c r="F7" s="14"/>
      <c r="G7" s="14"/>
      <c r="H7" s="14"/>
      <c r="I7" s="14"/>
      <c r="J7" s="11">
        <v>43537</v>
      </c>
      <c r="K7" s="11"/>
      <c r="L7" s="14"/>
    </row>
    <row r="8" spans="1:12" x14ac:dyDescent="0.25">
      <c r="A8" s="11" t="s">
        <v>120</v>
      </c>
      <c r="B8" s="11"/>
      <c r="C8" s="11"/>
      <c r="D8" s="11">
        <v>435421</v>
      </c>
      <c r="E8" s="11"/>
      <c r="G8" s="14"/>
      <c r="H8" s="14"/>
      <c r="I8" s="14"/>
      <c r="J8" s="11">
        <v>687608</v>
      </c>
      <c r="K8" s="11"/>
    </row>
    <row r="9" spans="1:12" x14ac:dyDescent="0.25">
      <c r="A9" s="11" t="s">
        <v>55</v>
      </c>
      <c r="B9" s="11"/>
      <c r="C9" s="11"/>
      <c r="D9" s="11">
        <v>726521</v>
      </c>
      <c r="E9" s="11"/>
      <c r="G9" s="14"/>
      <c r="H9" s="14"/>
      <c r="I9" s="14"/>
      <c r="J9" s="11">
        <v>715625</v>
      </c>
      <c r="K9" s="11"/>
    </row>
    <row r="10" spans="1:12" x14ac:dyDescent="0.25">
      <c r="A10" s="11" t="s">
        <v>56</v>
      </c>
      <c r="B10" s="11"/>
      <c r="C10" s="11"/>
      <c r="D10" s="11">
        <v>105519</v>
      </c>
      <c r="E10" s="11"/>
      <c r="G10" s="14"/>
      <c r="H10" s="14"/>
      <c r="I10" s="14"/>
      <c r="J10" s="11">
        <v>96853</v>
      </c>
      <c r="K10" s="11"/>
    </row>
    <row r="11" spans="1:12" x14ac:dyDescent="0.25">
      <c r="A11" s="11" t="s">
        <v>57</v>
      </c>
      <c r="B11" s="11"/>
      <c r="C11" s="11"/>
      <c r="D11" s="11">
        <v>1317513</v>
      </c>
      <c r="E11" s="11"/>
      <c r="G11" s="14"/>
      <c r="H11" s="14"/>
      <c r="I11" s="14"/>
      <c r="J11" s="11">
        <v>1543623</v>
      </c>
      <c r="K11" s="11"/>
    </row>
    <row r="12" spans="1:12" x14ac:dyDescent="0.25">
      <c r="A12" s="11" t="s">
        <v>58</v>
      </c>
      <c r="B12" s="11"/>
      <c r="C12" s="11"/>
      <c r="D12" s="11">
        <v>319660</v>
      </c>
      <c r="E12" s="11"/>
      <c r="G12" s="14"/>
      <c r="H12" s="14"/>
      <c r="I12" s="14"/>
      <c r="J12" s="11">
        <v>286666</v>
      </c>
      <c r="K12" s="11"/>
    </row>
    <row r="13" spans="1:12" x14ac:dyDescent="0.25">
      <c r="A13" s="11" t="s">
        <v>59</v>
      </c>
      <c r="B13" s="11"/>
      <c r="C13" s="11"/>
      <c r="D13" s="11">
        <v>718174</v>
      </c>
      <c r="E13" s="11"/>
      <c r="G13" s="14"/>
      <c r="H13" s="14"/>
      <c r="I13" s="14"/>
      <c r="J13" s="11">
        <v>710130</v>
      </c>
      <c r="K13" s="11"/>
    </row>
    <row r="14" spans="1:12" x14ac:dyDescent="0.25">
      <c r="A14" s="11" t="s">
        <v>60</v>
      </c>
      <c r="B14" s="11"/>
      <c r="C14" s="11"/>
      <c r="D14" s="11">
        <v>110641</v>
      </c>
      <c r="E14" s="11"/>
      <c r="G14" s="14"/>
      <c r="H14" s="14"/>
      <c r="I14" s="14"/>
      <c r="J14" s="11">
        <v>114328</v>
      </c>
      <c r="K14" s="11"/>
    </row>
    <row r="15" spans="1:12" x14ac:dyDescent="0.25">
      <c r="A15" s="11" t="s">
        <v>61</v>
      </c>
      <c r="B15" s="11"/>
      <c r="C15" s="11"/>
      <c r="D15" s="11">
        <v>65909</v>
      </c>
      <c r="E15" s="11"/>
      <c r="G15" s="14"/>
      <c r="H15" s="14"/>
      <c r="I15" s="14"/>
      <c r="J15" s="11">
        <v>64780</v>
      </c>
      <c r="K15" s="11"/>
    </row>
    <row r="16" spans="1:12" x14ac:dyDescent="0.25">
      <c r="A16" s="11" t="s">
        <v>62</v>
      </c>
      <c r="B16" s="11"/>
      <c r="C16" s="11"/>
      <c r="D16" s="11">
        <v>12237</v>
      </c>
      <c r="E16" s="11"/>
      <c r="G16" s="14"/>
      <c r="H16" s="14"/>
      <c r="I16" s="14"/>
      <c r="J16" s="11">
        <v>9887</v>
      </c>
      <c r="K16" s="11"/>
    </row>
    <row r="17" spans="1:12" x14ac:dyDescent="0.25">
      <c r="A17" s="11" t="s">
        <v>63</v>
      </c>
      <c r="B17" s="11"/>
      <c r="C17" s="11"/>
      <c r="D17" s="11">
        <v>2544134</v>
      </c>
      <c r="E17" s="11"/>
      <c r="G17" s="14"/>
      <c r="H17" s="14"/>
      <c r="I17" s="14"/>
      <c r="J17" s="11">
        <v>2729414</v>
      </c>
      <c r="K17" s="11"/>
    </row>
    <row r="18" spans="1:12" x14ac:dyDescent="0.25">
      <c r="A18" s="11" t="s">
        <v>64</v>
      </c>
      <c r="B18" s="11"/>
      <c r="C18" s="11"/>
      <c r="D18" s="14"/>
      <c r="E18" s="14"/>
      <c r="G18" s="14"/>
      <c r="H18" s="14"/>
      <c r="I18" s="14"/>
      <c r="J18" s="14"/>
      <c r="K18" s="14"/>
    </row>
    <row r="19" spans="1:12" x14ac:dyDescent="0.25">
      <c r="A19" s="11" t="s">
        <v>65</v>
      </c>
      <c r="B19" s="11"/>
      <c r="C19" s="11"/>
      <c r="D19" s="14"/>
      <c r="E19" s="14"/>
      <c r="F19" s="14"/>
      <c r="G19" s="14"/>
      <c r="H19" s="14"/>
      <c r="I19" s="14"/>
      <c r="J19" s="14"/>
      <c r="K19" s="14"/>
      <c r="L19" s="14"/>
    </row>
    <row r="20" spans="1:12" x14ac:dyDescent="0.25">
      <c r="A20" s="11" t="s">
        <v>66</v>
      </c>
      <c r="B20" s="11"/>
      <c r="C20" s="11"/>
      <c r="D20" s="11">
        <v>229935</v>
      </c>
      <c r="E20" s="11"/>
      <c r="F20" s="14"/>
      <c r="G20" s="14"/>
      <c r="H20" s="14"/>
      <c r="I20" s="14"/>
      <c r="J20" s="11">
        <v>325680</v>
      </c>
      <c r="K20" s="11"/>
      <c r="L20" s="14"/>
    </row>
    <row r="21" spans="1:12" x14ac:dyDescent="0.25">
      <c r="A21" s="11" t="s">
        <v>67</v>
      </c>
      <c r="B21" s="11"/>
      <c r="C21" s="11"/>
      <c r="D21" s="11">
        <v>21168</v>
      </c>
      <c r="E21" s="11"/>
      <c r="G21" s="14"/>
      <c r="H21" s="14"/>
      <c r="I21" s="14"/>
      <c r="J21" s="11">
        <v>18560</v>
      </c>
      <c r="K21" s="11"/>
    </row>
    <row r="22" spans="1:12" x14ac:dyDescent="0.25">
      <c r="A22" s="11" t="s">
        <v>68</v>
      </c>
      <c r="B22" s="11"/>
      <c r="C22" s="11"/>
      <c r="D22" s="11">
        <v>226299</v>
      </c>
      <c r="E22" s="11"/>
      <c r="G22" s="14"/>
      <c r="H22" s="14"/>
      <c r="I22" s="14"/>
      <c r="J22" s="11">
        <v>217378</v>
      </c>
      <c r="K22" s="11"/>
    </row>
    <row r="23" spans="1:12" x14ac:dyDescent="0.25">
      <c r="A23" s="11" t="s">
        <v>69</v>
      </c>
      <c r="B23" s="11"/>
      <c r="C23" s="11"/>
      <c r="D23" s="11">
        <v>172034</v>
      </c>
      <c r="E23" s="11"/>
      <c r="G23" s="14"/>
      <c r="H23" s="14"/>
      <c r="I23" s="14"/>
      <c r="J23" s="11">
        <v>164326</v>
      </c>
      <c r="K23" s="11"/>
    </row>
    <row r="24" spans="1:12" x14ac:dyDescent="0.25">
      <c r="A24" s="11" t="s">
        <v>70</v>
      </c>
      <c r="B24" s="11"/>
      <c r="C24" s="11"/>
      <c r="D24" s="11">
        <v>649436</v>
      </c>
      <c r="E24" s="11"/>
      <c r="G24" s="14"/>
      <c r="H24" s="14"/>
      <c r="I24" s="14"/>
      <c r="J24" s="11">
        <v>725944</v>
      </c>
      <c r="K24" s="11"/>
    </row>
    <row r="25" spans="1:12" x14ac:dyDescent="0.25">
      <c r="A25" s="11" t="s">
        <v>71</v>
      </c>
      <c r="B25" s="11"/>
      <c r="C25" s="11"/>
      <c r="D25" s="11">
        <v>224391</v>
      </c>
      <c r="E25" s="11"/>
      <c r="G25" s="14"/>
      <c r="H25" s="14"/>
      <c r="I25" s="14"/>
      <c r="J25" s="11">
        <v>468912</v>
      </c>
      <c r="K25" s="11"/>
    </row>
    <row r="26" spans="1:12" x14ac:dyDescent="0.25">
      <c r="A26" s="11" t="s">
        <v>72</v>
      </c>
      <c r="B26" s="11"/>
      <c r="C26" s="11"/>
      <c r="D26" s="11">
        <v>45924</v>
      </c>
      <c r="E26" s="11"/>
      <c r="G26" s="14"/>
      <c r="H26" s="14"/>
      <c r="I26" s="14"/>
      <c r="J26" s="11">
        <v>47616</v>
      </c>
      <c r="K26" s="11"/>
    </row>
    <row r="27" spans="1:12" x14ac:dyDescent="0.25">
      <c r="A27" s="11" t="s">
        <v>73</v>
      </c>
      <c r="B27" s="11"/>
      <c r="C27" s="11"/>
      <c r="D27" s="11">
        <v>131801</v>
      </c>
      <c r="E27" s="11"/>
      <c r="G27" s="14"/>
      <c r="H27" s="14"/>
      <c r="I27" s="14"/>
      <c r="J27" s="11">
        <v>124659</v>
      </c>
      <c r="K27" s="11"/>
    </row>
    <row r="28" spans="1:12" x14ac:dyDescent="0.25">
      <c r="A28" s="11"/>
      <c r="B28" s="11"/>
      <c r="C28" s="11"/>
      <c r="D28" s="11"/>
      <c r="E28" s="11"/>
      <c r="G28" s="14"/>
      <c r="H28" s="14"/>
      <c r="I28" s="14"/>
      <c r="J28" s="11"/>
      <c r="K28" s="11"/>
    </row>
    <row r="29" spans="1:12" x14ac:dyDescent="0.25">
      <c r="A29" s="11" t="s">
        <v>74</v>
      </c>
      <c r="B29" s="11"/>
      <c r="C29" s="11"/>
      <c r="D29" s="11">
        <v>1051552</v>
      </c>
      <c r="E29" s="11"/>
      <c r="G29" s="14"/>
      <c r="H29" s="14"/>
      <c r="I29" s="14"/>
      <c r="J29" s="11">
        <v>1367131</v>
      </c>
      <c r="K29" s="11"/>
    </row>
    <row r="30" spans="1:12" x14ac:dyDescent="0.25">
      <c r="A30" s="11" t="s">
        <v>75</v>
      </c>
      <c r="B30" s="11"/>
      <c r="C30" s="11"/>
      <c r="D30" s="14"/>
      <c r="E30" s="14"/>
      <c r="G30" s="14"/>
      <c r="H30" s="14"/>
      <c r="I30" s="14"/>
      <c r="J30" s="14"/>
      <c r="K30" s="14"/>
    </row>
    <row r="31" spans="1:12" x14ac:dyDescent="0.25">
      <c r="A31" s="11" t="s">
        <v>76</v>
      </c>
      <c r="B31" s="11"/>
      <c r="C31" s="11"/>
      <c r="D31" s="14"/>
      <c r="E31" s="14"/>
      <c r="F31" s="14"/>
      <c r="G31" s="14"/>
      <c r="H31" s="14"/>
      <c r="I31" s="14"/>
      <c r="J31" s="14"/>
      <c r="K31" s="14"/>
      <c r="L31" s="14"/>
    </row>
    <row r="32" spans="1:12" x14ac:dyDescent="0.25">
      <c r="A32" s="11" t="s">
        <v>77</v>
      </c>
      <c r="B32" s="11"/>
      <c r="C32" s="11"/>
      <c r="D32" s="14"/>
      <c r="E32" s="14"/>
      <c r="F32" s="14"/>
      <c r="G32" s="14"/>
      <c r="H32" s="14"/>
      <c r="I32" s="14"/>
      <c r="J32" s="14"/>
      <c r="K32" s="14"/>
      <c r="L32" s="14"/>
    </row>
    <row r="33" spans="1:12" x14ac:dyDescent="0.25">
      <c r="A33" s="11" t="s">
        <v>203</v>
      </c>
      <c r="B33" s="11"/>
      <c r="C33" s="11"/>
      <c r="D33" s="11" t="s">
        <v>78</v>
      </c>
      <c r="E33" s="11"/>
      <c r="F33" s="14"/>
      <c r="G33" s="14"/>
      <c r="H33" s="14"/>
      <c r="I33" s="14"/>
      <c r="J33" s="11" t="s">
        <v>78</v>
      </c>
      <c r="K33" s="11"/>
      <c r="L33" s="14"/>
    </row>
    <row r="34" spans="1:12" x14ac:dyDescent="0.25">
      <c r="A34" s="11" t="s">
        <v>210</v>
      </c>
      <c r="B34" s="11"/>
      <c r="C34" s="11"/>
      <c r="D34" s="11">
        <v>48</v>
      </c>
      <c r="E34" s="11"/>
      <c r="G34" s="14"/>
      <c r="H34" s="14"/>
      <c r="I34" s="14"/>
      <c r="J34" s="11">
        <v>48</v>
      </c>
      <c r="K34" s="11"/>
    </row>
    <row r="35" spans="1:12" x14ac:dyDescent="0.25">
      <c r="A35" s="11" t="s">
        <v>211</v>
      </c>
      <c r="B35" s="11"/>
      <c r="C35" s="11"/>
      <c r="D35" s="11">
        <v>9</v>
      </c>
      <c r="E35" s="11"/>
      <c r="G35" s="14"/>
      <c r="H35" s="14"/>
      <c r="I35" s="14"/>
      <c r="J35" s="11">
        <v>9</v>
      </c>
      <c r="K35" s="11"/>
    </row>
    <row r="36" spans="1:12" x14ac:dyDescent="0.25">
      <c r="A36" s="11" t="s">
        <v>79</v>
      </c>
      <c r="B36" s="11"/>
      <c r="C36" s="11"/>
      <c r="D36" s="11">
        <v>849502</v>
      </c>
      <c r="E36" s="11"/>
      <c r="G36" s="14"/>
      <c r="H36" s="14"/>
      <c r="I36" s="14"/>
      <c r="J36" s="11">
        <v>798408</v>
      </c>
      <c r="K36" s="11"/>
    </row>
    <row r="37" spans="1:12" x14ac:dyDescent="0.25">
      <c r="A37" s="11" t="s">
        <v>80</v>
      </c>
      <c r="B37" s="11"/>
      <c r="C37" s="11"/>
      <c r="D37" s="11">
        <v>755007</v>
      </c>
      <c r="E37" s="11"/>
      <c r="G37" s="14"/>
      <c r="H37" s="14"/>
      <c r="I37" s="14"/>
      <c r="J37" s="11">
        <v>681292</v>
      </c>
      <c r="K37" s="11"/>
    </row>
    <row r="38" spans="1:12" x14ac:dyDescent="0.25">
      <c r="A38" s="11" t="s">
        <v>81</v>
      </c>
      <c r="B38" s="11"/>
      <c r="C38" s="11"/>
      <c r="D38" s="11">
        <v>-17725</v>
      </c>
      <c r="E38" s="11"/>
      <c r="G38" s="14"/>
      <c r="H38" s="14"/>
      <c r="I38" s="14"/>
      <c r="J38" s="11">
        <v>-23121</v>
      </c>
      <c r="K38" s="11"/>
    </row>
    <row r="39" spans="1:12" x14ac:dyDescent="0.25">
      <c r="A39" s="11" t="s">
        <v>209</v>
      </c>
      <c r="B39" s="11"/>
      <c r="C39" s="11"/>
      <c r="D39" s="11">
        <v>-107677</v>
      </c>
      <c r="E39" s="11"/>
      <c r="G39" s="14"/>
      <c r="H39" s="14"/>
      <c r="I39" s="14"/>
      <c r="J39" s="11">
        <v>-106202</v>
      </c>
      <c r="K39" s="11"/>
    </row>
    <row r="40" spans="1:12" x14ac:dyDescent="0.25">
      <c r="A40" s="11" t="s">
        <v>82</v>
      </c>
      <c r="B40" s="11"/>
      <c r="C40" s="11"/>
      <c r="D40" s="11">
        <v>1479164</v>
      </c>
      <c r="E40" s="11"/>
      <c r="G40" s="14"/>
      <c r="H40" s="14"/>
      <c r="I40" s="14"/>
      <c r="J40" s="11">
        <v>1350434</v>
      </c>
      <c r="K40" s="11"/>
    </row>
    <row r="41" spans="1:12" x14ac:dyDescent="0.25">
      <c r="A41" s="11" t="s">
        <v>83</v>
      </c>
      <c r="B41" s="11"/>
      <c r="C41" s="11"/>
      <c r="D41" s="11">
        <v>13418</v>
      </c>
      <c r="E41" s="11"/>
      <c r="G41" s="14"/>
      <c r="H41" s="14"/>
      <c r="I41" s="14"/>
      <c r="J41" s="11">
        <v>11849</v>
      </c>
      <c r="K41" s="11"/>
    </row>
    <row r="42" spans="1:12" x14ac:dyDescent="0.25">
      <c r="A42" s="11" t="s">
        <v>171</v>
      </c>
      <c r="B42" s="11"/>
      <c r="C42" s="11"/>
      <c r="D42" s="11">
        <v>1492582</v>
      </c>
      <c r="E42" s="11"/>
      <c r="G42" s="14"/>
      <c r="H42" s="14"/>
      <c r="I42" s="14"/>
      <c r="J42" s="11">
        <v>1362283</v>
      </c>
      <c r="K42" s="11"/>
    </row>
    <row r="43" spans="1:12" x14ac:dyDescent="0.25">
      <c r="A43" s="11" t="s">
        <v>84</v>
      </c>
      <c r="B43" s="11"/>
      <c r="C43" s="11"/>
      <c r="D43" s="11">
        <v>2544134</v>
      </c>
      <c r="E43" s="11"/>
      <c r="G43" s="14"/>
      <c r="H43" s="14"/>
      <c r="I43" s="14"/>
      <c r="J43" s="11">
        <v>2729414</v>
      </c>
      <c r="K43" s="11"/>
    </row>
    <row r="44" spans="1:12" x14ac:dyDescent="0.25">
      <c r="A44" s="14"/>
      <c r="B44" s="14"/>
      <c r="C44" s="14"/>
      <c r="D44" s="14"/>
      <c r="E44" s="14"/>
      <c r="G44" s="14"/>
      <c r="H44" s="14"/>
      <c r="I44" s="14"/>
      <c r="J44" s="14"/>
      <c r="K44" s="14"/>
    </row>
    <row r="45" spans="1:12" x14ac:dyDescent="0.25">
      <c r="D45" s="12">
        <f>SUM(D5:D43)</f>
        <v>16166783</v>
      </c>
      <c r="J45" s="12">
        <f>SUM(J5:J43)</f>
        <v>17267071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8CEF-9A9D-4C64-99D5-61608426C8C9}">
  <sheetPr>
    <tabColor theme="5" tint="0.59999389629810485"/>
  </sheetPr>
  <dimension ref="A2:L49"/>
  <sheetViews>
    <sheetView workbookViewId="0"/>
  </sheetViews>
  <sheetFormatPr defaultRowHeight="15" x14ac:dyDescent="0.25"/>
  <cols>
    <col min="1" max="1" width="100.7109375" style="12" customWidth="1"/>
    <col min="2" max="2" width="9.140625" style="12"/>
    <col min="3" max="3" width="14.5703125" style="12" bestFit="1" customWidth="1"/>
    <col min="4" max="5" width="9.140625" style="12"/>
    <col min="6" max="6" width="11.5703125" style="12" bestFit="1" customWidth="1"/>
    <col min="7" max="16384" width="9.140625" style="12"/>
  </cols>
  <sheetData>
    <row r="2" spans="1:12" x14ac:dyDescent="0.25">
      <c r="A2" s="11" t="s">
        <v>165</v>
      </c>
      <c r="B2" s="11"/>
      <c r="C2" s="11"/>
      <c r="D2" s="11"/>
      <c r="E2" s="11"/>
      <c r="F2" s="11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25">
      <c r="A6" s="14"/>
      <c r="C6" s="11" t="s">
        <v>166</v>
      </c>
      <c r="D6" s="11"/>
      <c r="E6" s="14"/>
      <c r="F6" s="11" t="s">
        <v>167</v>
      </c>
      <c r="G6" s="14"/>
      <c r="H6" s="14"/>
      <c r="I6" s="14"/>
      <c r="J6" s="14"/>
      <c r="K6" s="14"/>
      <c r="L6" s="14"/>
    </row>
    <row r="7" spans="1:12" x14ac:dyDescent="0.25">
      <c r="A7" s="14"/>
      <c r="C7" s="11" t="s">
        <v>168</v>
      </c>
      <c r="D7" s="11"/>
      <c r="E7" s="14"/>
      <c r="F7" s="11" t="s">
        <v>169</v>
      </c>
      <c r="G7" s="14"/>
      <c r="H7" s="14"/>
      <c r="I7" s="14"/>
      <c r="J7" s="14"/>
      <c r="K7" s="14"/>
      <c r="L7" s="14"/>
    </row>
    <row r="8" spans="1:12" x14ac:dyDescent="0.25">
      <c r="A8" s="11"/>
      <c r="C8" s="14"/>
      <c r="D8" s="14"/>
      <c r="E8" s="14"/>
      <c r="F8" s="14"/>
      <c r="G8" s="14"/>
      <c r="H8" s="14"/>
      <c r="I8" s="14"/>
      <c r="J8" s="14"/>
      <c r="K8" s="14"/>
    </row>
    <row r="9" spans="1:12" x14ac:dyDescent="0.25">
      <c r="A9" s="11" t="s">
        <v>52</v>
      </c>
      <c r="C9" s="14"/>
      <c r="D9" s="14"/>
      <c r="E9" s="14"/>
      <c r="F9" s="14"/>
      <c r="G9" s="14"/>
      <c r="H9" s="14"/>
      <c r="I9" s="14"/>
      <c r="J9" s="14"/>
      <c r="K9" s="14"/>
    </row>
    <row r="10" spans="1:12" x14ac:dyDescent="0.25">
      <c r="A10" s="14" t="s">
        <v>53</v>
      </c>
      <c r="C10" s="14"/>
      <c r="D10" s="14"/>
      <c r="E10" s="14"/>
      <c r="F10" s="14"/>
      <c r="G10" s="14"/>
      <c r="H10" s="14"/>
      <c r="I10" s="14"/>
      <c r="J10" s="14"/>
      <c r="K10" s="14"/>
    </row>
    <row r="11" spans="1:12" x14ac:dyDescent="0.25">
      <c r="A11" s="14" t="s">
        <v>54</v>
      </c>
      <c r="C11" s="14">
        <v>43537</v>
      </c>
      <c r="D11" s="14"/>
      <c r="E11" s="14"/>
      <c r="F11" s="14">
        <v>40536</v>
      </c>
      <c r="G11" s="14"/>
      <c r="H11" s="14"/>
      <c r="I11" s="14"/>
      <c r="J11" s="14"/>
      <c r="K11" s="14"/>
    </row>
    <row r="12" spans="1:12" x14ac:dyDescent="0.25">
      <c r="A12" t="s">
        <v>120</v>
      </c>
      <c r="B12" s="14"/>
      <c r="C12" s="14">
        <v>687608</v>
      </c>
      <c r="D12" s="14"/>
      <c r="E12" s="14"/>
      <c r="F12" s="12">
        <v>560373</v>
      </c>
      <c r="G12" s="14"/>
      <c r="H12" s="14"/>
      <c r="I12" s="14"/>
      <c r="J12" s="14"/>
      <c r="K12" s="14"/>
    </row>
    <row r="13" spans="1:12" x14ac:dyDescent="0.25">
      <c r="A13" s="14" t="s">
        <v>55</v>
      </c>
      <c r="B13" s="14"/>
      <c r="C13" s="14">
        <v>715625</v>
      </c>
      <c r="D13" s="14"/>
      <c r="E13" s="14"/>
      <c r="F13" s="12">
        <v>624169</v>
      </c>
      <c r="G13" s="14"/>
      <c r="H13" s="14"/>
      <c r="I13" s="14"/>
      <c r="J13" s="14"/>
      <c r="K13" s="14"/>
    </row>
    <row r="14" spans="1:12" x14ac:dyDescent="0.25">
      <c r="A14" s="14" t="s">
        <v>56</v>
      </c>
      <c r="B14" s="14"/>
      <c r="C14" s="14">
        <v>96853</v>
      </c>
      <c r="D14" s="14"/>
      <c r="E14" s="14"/>
      <c r="F14" s="12">
        <v>89167</v>
      </c>
      <c r="G14" s="14"/>
      <c r="H14" s="14"/>
      <c r="I14" s="14"/>
      <c r="J14" s="14"/>
      <c r="K14" s="14"/>
    </row>
    <row r="15" spans="1:12" x14ac:dyDescent="0.25">
      <c r="A15" s="11" t="s">
        <v>57</v>
      </c>
      <c r="B15" s="14"/>
      <c r="C15" s="14">
        <v>1543623</v>
      </c>
      <c r="D15" s="14"/>
      <c r="E15" s="14"/>
      <c r="F15" s="12">
        <v>1314245</v>
      </c>
      <c r="G15" s="14"/>
      <c r="H15" s="14"/>
      <c r="I15" s="14"/>
      <c r="J15" s="14"/>
      <c r="K15" s="14"/>
    </row>
    <row r="16" spans="1:12" x14ac:dyDescent="0.25">
      <c r="A16" s="14" t="s">
        <v>58</v>
      </c>
      <c r="B16" s="14"/>
      <c r="C16" s="14">
        <v>286666</v>
      </c>
      <c r="D16" s="14"/>
      <c r="E16" s="14"/>
      <c r="F16" s="12">
        <v>298416</v>
      </c>
      <c r="G16" s="14"/>
      <c r="H16" s="14"/>
      <c r="I16" s="14"/>
      <c r="J16" s="14"/>
      <c r="K16" s="14"/>
    </row>
    <row r="17" spans="1:12" x14ac:dyDescent="0.25">
      <c r="A17" s="14" t="s">
        <v>59</v>
      </c>
      <c r="B17" s="14"/>
      <c r="C17" s="14">
        <v>710130</v>
      </c>
      <c r="D17" s="14"/>
      <c r="E17" s="14"/>
      <c r="F17" s="12">
        <v>692704</v>
      </c>
      <c r="G17" s="14"/>
      <c r="H17" s="14"/>
      <c r="I17" s="14"/>
      <c r="J17" s="14"/>
      <c r="K17" s="14"/>
    </row>
    <row r="18" spans="1:12" x14ac:dyDescent="0.25">
      <c r="A18" s="14" t="s">
        <v>60</v>
      </c>
      <c r="B18" s="14"/>
      <c r="C18" s="14">
        <v>114328</v>
      </c>
      <c r="D18" s="14"/>
      <c r="E18" s="14"/>
      <c r="F18" s="12">
        <v>101854</v>
      </c>
      <c r="G18" s="14"/>
      <c r="H18" s="14"/>
      <c r="I18" s="14"/>
      <c r="J18" s="14"/>
      <c r="K18" s="14"/>
    </row>
    <row r="19" spans="1:12" x14ac:dyDescent="0.25">
      <c r="A19" s="14" t="s">
        <v>61</v>
      </c>
      <c r="B19" s="14"/>
      <c r="C19" s="14">
        <v>64780</v>
      </c>
      <c r="D19" s="14"/>
      <c r="E19" s="14"/>
      <c r="F19" s="14">
        <v>49011</v>
      </c>
      <c r="G19" s="14"/>
      <c r="H19" s="14"/>
      <c r="I19" s="14"/>
      <c r="J19" s="14"/>
      <c r="K19" s="14"/>
      <c r="L19" s="14"/>
    </row>
    <row r="20" spans="1:12" x14ac:dyDescent="0.25">
      <c r="A20" s="14" t="s">
        <v>62</v>
      </c>
      <c r="B20" s="14"/>
      <c r="C20" s="14">
        <v>9887</v>
      </c>
      <c r="D20" s="14"/>
      <c r="E20" s="14"/>
      <c r="F20" s="14">
        <v>5885</v>
      </c>
      <c r="G20" s="14"/>
      <c r="H20" s="14"/>
      <c r="I20" s="14"/>
      <c r="J20" s="14"/>
      <c r="K20" s="14"/>
      <c r="L20" s="14"/>
    </row>
    <row r="21" spans="1:12" x14ac:dyDescent="0.25">
      <c r="A21" s="11" t="s">
        <v>63</v>
      </c>
      <c r="C21" s="14">
        <v>2729414</v>
      </c>
      <c r="D21" s="14"/>
      <c r="E21" s="14"/>
      <c r="F21" s="14">
        <v>2462115</v>
      </c>
      <c r="G21" s="14"/>
      <c r="H21" s="14"/>
      <c r="I21" s="14"/>
      <c r="J21" s="14"/>
      <c r="K21" s="14"/>
    </row>
    <row r="22" spans="1:12" x14ac:dyDescent="0.25">
      <c r="A22" s="11" t="s">
        <v>64</v>
      </c>
      <c r="C22" s="14"/>
      <c r="D22" s="14"/>
      <c r="E22" s="14"/>
      <c r="F22" s="14"/>
      <c r="G22" s="14"/>
      <c r="H22" s="14"/>
      <c r="I22" s="14"/>
      <c r="J22" s="14"/>
      <c r="K22" s="14"/>
    </row>
    <row r="23" spans="1:12" x14ac:dyDescent="0.25">
      <c r="A23" s="14" t="s">
        <v>65</v>
      </c>
      <c r="C23" s="14"/>
      <c r="D23" s="14"/>
      <c r="E23" s="14"/>
      <c r="F23" s="14"/>
      <c r="G23" s="14"/>
      <c r="H23" s="14"/>
      <c r="I23" s="14"/>
      <c r="J23" s="14"/>
      <c r="K23" s="14"/>
    </row>
    <row r="24" spans="1:12" x14ac:dyDescent="0.25">
      <c r="A24" s="14" t="s">
        <v>66</v>
      </c>
      <c r="C24" s="14">
        <v>325680</v>
      </c>
      <c r="D24" s="14"/>
      <c r="E24" s="14"/>
      <c r="F24" s="14">
        <v>202433</v>
      </c>
      <c r="G24" s="14"/>
      <c r="H24" s="14"/>
      <c r="I24" s="14"/>
      <c r="J24" s="14"/>
      <c r="K24" s="14"/>
    </row>
    <row r="25" spans="1:12" x14ac:dyDescent="0.25">
      <c r="A25" s="14" t="s">
        <v>67</v>
      </c>
      <c r="B25" s="14"/>
      <c r="C25" s="14">
        <v>18560</v>
      </c>
      <c r="D25" s="14"/>
      <c r="E25" s="14"/>
      <c r="F25" s="12">
        <v>13927</v>
      </c>
      <c r="G25" s="14"/>
      <c r="H25" s="14"/>
      <c r="I25" s="14"/>
      <c r="J25" s="14"/>
      <c r="K25" s="14"/>
    </row>
    <row r="26" spans="1:12" x14ac:dyDescent="0.25">
      <c r="A26" s="14" t="s">
        <v>68</v>
      </c>
      <c r="B26" s="14"/>
      <c r="C26" s="14">
        <v>217378</v>
      </c>
      <c r="D26" s="14"/>
      <c r="E26" s="14"/>
      <c r="F26" s="12">
        <v>186330</v>
      </c>
      <c r="G26" s="14"/>
      <c r="H26" s="14"/>
      <c r="I26" s="14"/>
      <c r="J26" s="14"/>
      <c r="K26" s="14"/>
    </row>
    <row r="27" spans="1:12" x14ac:dyDescent="0.25">
      <c r="A27" s="14" t="s">
        <v>69</v>
      </c>
      <c r="B27" s="14"/>
      <c r="C27" s="14">
        <v>164326</v>
      </c>
      <c r="D27" s="14"/>
      <c r="E27" s="14"/>
      <c r="F27" s="12">
        <v>159238</v>
      </c>
      <c r="G27" s="14"/>
      <c r="H27" s="14"/>
      <c r="I27" s="14"/>
      <c r="J27" s="14"/>
      <c r="K27" s="14"/>
    </row>
    <row r="28" spans="1:12" x14ac:dyDescent="0.25">
      <c r="A28" s="11" t="s">
        <v>70</v>
      </c>
      <c r="B28" s="14"/>
      <c r="C28" s="14">
        <v>725944</v>
      </c>
      <c r="D28" s="14"/>
      <c r="E28" s="14"/>
      <c r="F28" s="12">
        <v>561928</v>
      </c>
      <c r="G28" s="14"/>
      <c r="H28" s="14"/>
      <c r="I28" s="14"/>
      <c r="J28" s="14"/>
      <c r="K28" s="14"/>
    </row>
    <row r="29" spans="1:12" x14ac:dyDescent="0.25">
      <c r="A29" s="14" t="s">
        <v>71</v>
      </c>
      <c r="B29" s="14"/>
      <c r="C29" s="14">
        <v>468912</v>
      </c>
      <c r="D29" s="14"/>
      <c r="E29" s="14"/>
      <c r="F29" s="12">
        <v>583616</v>
      </c>
      <c r="G29" s="14"/>
      <c r="H29" s="14"/>
      <c r="I29" s="14"/>
      <c r="J29" s="14"/>
      <c r="K29" s="14"/>
    </row>
    <row r="30" spans="1:12" x14ac:dyDescent="0.25">
      <c r="A30" s="14" t="s">
        <v>72</v>
      </c>
      <c r="B30" s="14"/>
      <c r="C30" s="14">
        <v>47616</v>
      </c>
      <c r="D30" s="14"/>
      <c r="E30" s="14"/>
      <c r="F30" s="14">
        <v>36429</v>
      </c>
      <c r="G30" s="14"/>
      <c r="H30" s="14"/>
      <c r="I30" s="14"/>
      <c r="J30" s="14"/>
      <c r="K30" s="14"/>
      <c r="L30" s="14"/>
    </row>
    <row r="31" spans="1:12" x14ac:dyDescent="0.25">
      <c r="A31" s="14" t="s">
        <v>73</v>
      </c>
      <c r="B31" s="14"/>
      <c r="C31" s="14">
        <v>124659</v>
      </c>
      <c r="D31" s="14"/>
      <c r="E31" s="14"/>
      <c r="F31" s="14">
        <v>108827</v>
      </c>
      <c r="G31" s="14"/>
      <c r="H31" s="14"/>
      <c r="I31" s="14"/>
      <c r="J31" s="14"/>
      <c r="K31" s="14"/>
      <c r="L31" s="14"/>
    </row>
    <row r="32" spans="1:12" x14ac:dyDescent="0.25">
      <c r="A32" s="14" t="s">
        <v>170</v>
      </c>
      <c r="B32" s="14"/>
      <c r="C32" s="14" t="s">
        <v>78</v>
      </c>
      <c r="D32" s="14"/>
      <c r="E32" s="14"/>
      <c r="F32" s="14">
        <v>9443</v>
      </c>
      <c r="G32" s="14"/>
      <c r="H32" s="14"/>
      <c r="I32" s="14"/>
      <c r="J32" s="14"/>
      <c r="K32" s="14"/>
      <c r="L32" s="14"/>
    </row>
    <row r="33" spans="1:11" x14ac:dyDescent="0.25">
      <c r="A33" s="11" t="s">
        <v>74</v>
      </c>
      <c r="B33" s="14"/>
      <c r="C33" s="14">
        <v>1367131</v>
      </c>
      <c r="D33" s="14"/>
      <c r="E33" s="14"/>
      <c r="F33" s="12">
        <v>1300243</v>
      </c>
      <c r="G33" s="14"/>
      <c r="H33" s="14"/>
      <c r="I33" s="14"/>
      <c r="J33" s="14"/>
      <c r="K33" s="14"/>
    </row>
    <row r="34" spans="1:11" x14ac:dyDescent="0.25">
      <c r="A34" s="14" t="s">
        <v>75</v>
      </c>
      <c r="B34" s="14"/>
      <c r="C34" s="14"/>
      <c r="D34" s="14"/>
      <c r="E34" s="14"/>
      <c r="G34" s="14"/>
      <c r="H34" s="14"/>
      <c r="I34" s="14"/>
      <c r="J34" s="14"/>
      <c r="K34" s="14"/>
    </row>
    <row r="35" spans="1:11" x14ac:dyDescent="0.25">
      <c r="A35" s="14" t="s">
        <v>76</v>
      </c>
      <c r="B35" s="14"/>
      <c r="C35" s="14"/>
      <c r="D35" s="14"/>
      <c r="E35" s="14"/>
      <c r="G35" s="14"/>
      <c r="H35" s="14"/>
      <c r="I35" s="14"/>
      <c r="J35" s="14"/>
      <c r="K35" s="14"/>
    </row>
    <row r="36" spans="1:11" x14ac:dyDescent="0.25">
      <c r="A36" s="14" t="s">
        <v>77</v>
      </c>
      <c r="B36" s="14"/>
      <c r="C36" s="14"/>
      <c r="D36" s="14"/>
      <c r="E36" s="14"/>
      <c r="G36" s="14"/>
      <c r="H36" s="14"/>
      <c r="I36" s="14"/>
      <c r="J36" s="14"/>
      <c r="K36" s="14"/>
    </row>
    <row r="37" spans="1:11" x14ac:dyDescent="0.25">
      <c r="A37" s="14" t="s">
        <v>203</v>
      </c>
      <c r="B37" s="14"/>
      <c r="C37" s="14" t="s">
        <v>78</v>
      </c>
      <c r="D37" s="14"/>
      <c r="E37" s="14"/>
      <c r="F37" s="12" t="s">
        <v>78</v>
      </c>
      <c r="G37" s="14"/>
      <c r="H37" s="14"/>
      <c r="I37" s="14"/>
      <c r="J37" s="14"/>
      <c r="K37" s="14"/>
    </row>
    <row r="38" spans="1:11" x14ac:dyDescent="0.25">
      <c r="A38" s="14" t="s">
        <v>210</v>
      </c>
      <c r="B38" s="14"/>
      <c r="C38" s="14">
        <v>48</v>
      </c>
      <c r="D38" s="14"/>
      <c r="E38" s="14"/>
      <c r="F38" s="12">
        <v>48</v>
      </c>
      <c r="G38" s="14"/>
      <c r="H38" s="14"/>
      <c r="I38" s="14"/>
      <c r="J38" s="14"/>
      <c r="K38" s="14"/>
    </row>
    <row r="39" spans="1:11" x14ac:dyDescent="0.25">
      <c r="A39" s="14" t="s">
        <v>211</v>
      </c>
      <c r="B39" s="14"/>
      <c r="C39" s="14">
        <v>9</v>
      </c>
      <c r="D39" s="14"/>
      <c r="E39" s="14"/>
      <c r="F39" s="12">
        <v>9</v>
      </c>
      <c r="G39" s="14"/>
      <c r="H39" s="14"/>
      <c r="I39" s="14"/>
      <c r="J39" s="14"/>
      <c r="K39" s="14"/>
    </row>
    <row r="40" spans="1:11" x14ac:dyDescent="0.25">
      <c r="A40" s="14" t="s">
        <v>79</v>
      </c>
      <c r="B40" s="14"/>
      <c r="C40" s="14">
        <v>798408</v>
      </c>
      <c r="D40" s="14"/>
      <c r="E40" s="14"/>
      <c r="F40" s="12">
        <v>740867</v>
      </c>
      <c r="G40" s="14"/>
      <c r="H40" s="14"/>
      <c r="I40" s="14"/>
      <c r="J40" s="14"/>
      <c r="K40" s="14"/>
    </row>
    <row r="41" spans="1:11" x14ac:dyDescent="0.25">
      <c r="A41" s="14" t="s">
        <v>80</v>
      </c>
      <c r="B41" s="14"/>
      <c r="C41" s="14">
        <v>681292</v>
      </c>
      <c r="D41" s="14"/>
      <c r="E41" s="14"/>
      <c r="F41" s="12">
        <v>532315</v>
      </c>
      <c r="G41" s="14"/>
      <c r="H41" s="14"/>
      <c r="I41" s="14"/>
      <c r="J41" s="14"/>
      <c r="K41" s="14"/>
    </row>
    <row r="42" spans="1:11" x14ac:dyDescent="0.25">
      <c r="A42" s="14" t="s">
        <v>81</v>
      </c>
      <c r="B42" s="14"/>
      <c r="C42" s="14">
        <v>-23121</v>
      </c>
      <c r="D42" s="14"/>
      <c r="E42" s="14"/>
      <c r="F42" s="12">
        <v>-17984</v>
      </c>
      <c r="G42" s="14"/>
      <c r="H42" s="14"/>
      <c r="I42" s="14"/>
      <c r="J42" s="14"/>
      <c r="K42" s="14"/>
    </row>
    <row r="43" spans="1:11" x14ac:dyDescent="0.25">
      <c r="A43" s="14" t="s">
        <v>209</v>
      </c>
      <c r="B43" s="14"/>
      <c r="C43" s="14">
        <v>-106202</v>
      </c>
      <c r="D43" s="14"/>
      <c r="E43" s="14"/>
      <c r="F43" s="12">
        <v>-104384</v>
      </c>
      <c r="G43" s="14"/>
      <c r="H43" s="14"/>
      <c r="I43" s="14"/>
      <c r="J43" s="14"/>
      <c r="K43" s="14"/>
    </row>
    <row r="44" spans="1:11" x14ac:dyDescent="0.25">
      <c r="A44" s="15" t="s">
        <v>82</v>
      </c>
      <c r="C44" s="12">
        <v>1350434</v>
      </c>
      <c r="F44" s="12">
        <v>1150871</v>
      </c>
    </row>
    <row r="45" spans="1:11" x14ac:dyDescent="0.25">
      <c r="A45" s="12" t="s">
        <v>83</v>
      </c>
      <c r="C45" s="12">
        <v>11849</v>
      </c>
      <c r="F45" s="12">
        <v>11001</v>
      </c>
    </row>
    <row r="46" spans="1:11" x14ac:dyDescent="0.25">
      <c r="A46" s="15" t="s">
        <v>171</v>
      </c>
      <c r="C46" s="12">
        <v>1362283</v>
      </c>
      <c r="F46" s="12">
        <v>1161872</v>
      </c>
    </row>
    <row r="47" spans="1:11" x14ac:dyDescent="0.25">
      <c r="A47" s="15" t="s">
        <v>84</v>
      </c>
      <c r="C47" s="12">
        <v>2729414</v>
      </c>
      <c r="F47" s="12">
        <v>2462115</v>
      </c>
    </row>
    <row r="49" spans="1:6" x14ac:dyDescent="0.25">
      <c r="A49" s="12" t="s">
        <v>172</v>
      </c>
      <c r="C49" s="12">
        <f>SUM(C9:C47)</f>
        <v>17267071</v>
      </c>
      <c r="F49" s="12">
        <f>SUM(F9:F47)</f>
        <v>15337619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BADA-A1E2-46C6-9931-4E64B0F564BD}">
  <sheetPr>
    <tabColor theme="5" tint="0.59999389629810485"/>
  </sheetPr>
  <dimension ref="A2:L49"/>
  <sheetViews>
    <sheetView workbookViewId="0"/>
  </sheetViews>
  <sheetFormatPr defaultRowHeight="15" x14ac:dyDescent="0.25"/>
  <cols>
    <col min="1" max="1" width="100.7109375" style="12" customWidth="1"/>
    <col min="2" max="2" width="9.140625" style="12"/>
    <col min="3" max="3" width="14.28515625" style="12" bestFit="1" customWidth="1"/>
    <col min="4" max="5" width="9.140625" style="12"/>
    <col min="6" max="6" width="14.28515625" style="12" bestFit="1" customWidth="1"/>
    <col min="7" max="16384" width="9.140625" style="12"/>
  </cols>
  <sheetData>
    <row r="2" spans="1:12" x14ac:dyDescent="0.25">
      <c r="A2" s="11" t="s">
        <v>165</v>
      </c>
      <c r="B2" s="11"/>
      <c r="C2" s="11"/>
      <c r="D2" s="11"/>
      <c r="E2" s="11"/>
      <c r="F2" s="11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25">
      <c r="B6" s="14"/>
      <c r="C6" s="11" t="s">
        <v>167</v>
      </c>
      <c r="D6" s="11"/>
      <c r="E6" s="14"/>
      <c r="F6" s="11" t="s">
        <v>174</v>
      </c>
      <c r="G6" s="14"/>
      <c r="H6" s="14"/>
      <c r="I6" s="14"/>
      <c r="J6" s="14"/>
      <c r="K6" s="14"/>
      <c r="L6" s="14"/>
    </row>
    <row r="7" spans="1:12" x14ac:dyDescent="0.25">
      <c r="B7" s="14"/>
      <c r="C7" s="11" t="s">
        <v>169</v>
      </c>
      <c r="D7" s="11"/>
      <c r="E7" s="14"/>
      <c r="F7" s="11" t="s">
        <v>175</v>
      </c>
      <c r="G7" s="14"/>
      <c r="H7" s="14"/>
      <c r="I7" s="14"/>
      <c r="J7" s="14"/>
      <c r="K7" s="14"/>
      <c r="L7" s="14"/>
    </row>
    <row r="8" spans="1:12" x14ac:dyDescent="0.25">
      <c r="A8" s="14"/>
      <c r="B8" s="14"/>
      <c r="C8" s="14"/>
      <c r="D8" s="14"/>
      <c r="E8" s="14"/>
      <c r="G8" s="14"/>
      <c r="H8" s="14"/>
      <c r="I8" s="14"/>
      <c r="J8" s="14"/>
      <c r="K8" s="14"/>
    </row>
    <row r="9" spans="1:12" x14ac:dyDescent="0.25">
      <c r="A9" s="11" t="s">
        <v>52</v>
      </c>
      <c r="B9" s="14"/>
      <c r="C9" s="14"/>
      <c r="D9" s="14"/>
      <c r="E9" s="14"/>
      <c r="G9" s="14"/>
      <c r="H9" s="14"/>
      <c r="I9" s="14"/>
      <c r="J9" s="14"/>
      <c r="K9" s="14"/>
    </row>
    <row r="10" spans="1:12" x14ac:dyDescent="0.25">
      <c r="A10" s="14" t="s">
        <v>53</v>
      </c>
      <c r="B10" s="14"/>
      <c r="C10" s="14"/>
      <c r="D10" s="14"/>
      <c r="E10" s="14"/>
      <c r="G10" s="14"/>
      <c r="H10" s="14"/>
      <c r="I10" s="14"/>
      <c r="J10" s="14"/>
      <c r="K10" s="14"/>
    </row>
    <row r="11" spans="1:12" x14ac:dyDescent="0.25">
      <c r="A11" s="14" t="s">
        <v>54</v>
      </c>
      <c r="C11" s="14">
        <v>40536</v>
      </c>
      <c r="D11" s="14"/>
      <c r="F11" s="14">
        <v>125211</v>
      </c>
      <c r="G11" s="14"/>
      <c r="H11" s="14"/>
      <c r="I11" s="14"/>
      <c r="J11" s="14"/>
      <c r="K11" s="14"/>
    </row>
    <row r="12" spans="1:12" x14ac:dyDescent="0.25">
      <c r="A12" t="s">
        <v>120</v>
      </c>
      <c r="B12" s="14"/>
      <c r="C12" s="14">
        <v>560373</v>
      </c>
      <c r="D12" s="14"/>
      <c r="E12" s="14"/>
      <c r="F12" s="12">
        <v>491743</v>
      </c>
      <c r="G12" s="14"/>
      <c r="H12" s="14"/>
      <c r="I12" s="14"/>
      <c r="J12" s="14"/>
      <c r="K12" s="14"/>
    </row>
    <row r="13" spans="1:12" x14ac:dyDescent="0.25">
      <c r="A13" s="14" t="s">
        <v>55</v>
      </c>
      <c r="B13" s="14"/>
      <c r="C13" s="14">
        <v>624169</v>
      </c>
      <c r="D13" s="14"/>
      <c r="E13" s="14"/>
      <c r="F13" s="12">
        <v>543106</v>
      </c>
      <c r="G13" s="14"/>
      <c r="H13" s="14"/>
      <c r="I13" s="14"/>
      <c r="J13" s="14"/>
      <c r="K13" s="14"/>
    </row>
    <row r="14" spans="1:12" x14ac:dyDescent="0.25">
      <c r="A14" s="14" t="s">
        <v>56</v>
      </c>
      <c r="B14" s="14"/>
      <c r="C14" s="14">
        <v>89167</v>
      </c>
      <c r="D14" s="14"/>
      <c r="E14" s="14"/>
      <c r="F14" s="12">
        <v>77710</v>
      </c>
      <c r="G14" s="14"/>
      <c r="H14" s="14"/>
      <c r="I14" s="14"/>
      <c r="J14" s="14"/>
      <c r="K14" s="14"/>
    </row>
    <row r="15" spans="1:12" x14ac:dyDescent="0.25">
      <c r="A15" s="11" t="s">
        <v>57</v>
      </c>
      <c r="B15" s="14"/>
      <c r="C15" s="14">
        <v>1314245</v>
      </c>
      <c r="D15" s="14"/>
      <c r="E15" s="14"/>
      <c r="F15" s="12">
        <v>1237770</v>
      </c>
      <c r="G15" s="14"/>
      <c r="H15" s="14"/>
      <c r="I15" s="14"/>
      <c r="J15" s="14"/>
      <c r="K15" s="14"/>
    </row>
    <row r="16" spans="1:12" x14ac:dyDescent="0.25">
      <c r="A16" s="14" t="s">
        <v>58</v>
      </c>
      <c r="B16" s="14"/>
      <c r="C16" s="14">
        <v>298416</v>
      </c>
      <c r="D16" s="14"/>
      <c r="E16" s="14"/>
      <c r="F16" s="12">
        <v>301979</v>
      </c>
      <c r="G16" s="14"/>
      <c r="H16" s="14"/>
      <c r="I16" s="14"/>
      <c r="J16" s="14"/>
      <c r="K16" s="14"/>
    </row>
    <row r="17" spans="1:12" x14ac:dyDescent="0.25">
      <c r="A17" s="14" t="s">
        <v>59</v>
      </c>
      <c r="B17" s="14"/>
      <c r="C17" s="14">
        <v>692704</v>
      </c>
      <c r="D17" s="14"/>
      <c r="E17" s="14"/>
      <c r="F17" s="12">
        <v>677579</v>
      </c>
      <c r="G17" s="14"/>
      <c r="H17" s="14"/>
      <c r="I17" s="14"/>
      <c r="J17" s="14"/>
      <c r="K17" s="14"/>
    </row>
    <row r="18" spans="1:12" x14ac:dyDescent="0.25">
      <c r="A18" s="14" t="s">
        <v>60</v>
      </c>
      <c r="B18" s="14"/>
      <c r="C18" s="14">
        <v>101854</v>
      </c>
      <c r="D18" s="14"/>
      <c r="E18" s="14"/>
      <c r="F18" s="12">
        <v>104873</v>
      </c>
      <c r="G18" s="14"/>
      <c r="H18" s="14"/>
      <c r="I18" s="14"/>
      <c r="J18" s="14"/>
      <c r="K18" s="14"/>
    </row>
    <row r="19" spans="1:12" x14ac:dyDescent="0.25">
      <c r="A19" s="14" t="s">
        <v>61</v>
      </c>
      <c r="B19" s="14"/>
      <c r="C19" s="14">
        <v>49011</v>
      </c>
      <c r="D19" s="14"/>
      <c r="E19" s="14"/>
      <c r="F19" s="14">
        <v>56173</v>
      </c>
      <c r="G19" s="14"/>
      <c r="H19" s="14"/>
      <c r="I19" s="14"/>
      <c r="J19" s="14"/>
      <c r="K19" s="14"/>
      <c r="L19" s="14"/>
    </row>
    <row r="20" spans="1:12" x14ac:dyDescent="0.25">
      <c r="A20" s="14" t="s">
        <v>62</v>
      </c>
      <c r="B20" s="14"/>
      <c r="C20" s="14">
        <v>5885</v>
      </c>
      <c r="D20" s="14"/>
      <c r="E20" s="14"/>
      <c r="F20" s="14">
        <v>4056</v>
      </c>
      <c r="G20" s="14"/>
      <c r="H20" s="14"/>
      <c r="I20" s="14"/>
      <c r="J20" s="14"/>
      <c r="K20" s="14"/>
      <c r="L20" s="14"/>
    </row>
    <row r="21" spans="1:12" x14ac:dyDescent="0.25">
      <c r="A21" s="11" t="s">
        <v>63</v>
      </c>
      <c r="C21" s="14">
        <v>2462115</v>
      </c>
      <c r="D21" s="14"/>
      <c r="F21" s="14">
        <v>2382430</v>
      </c>
      <c r="G21" s="14"/>
      <c r="H21" s="14"/>
      <c r="I21" s="14"/>
      <c r="J21" s="14"/>
      <c r="K21" s="14"/>
    </row>
    <row r="22" spans="1:12" x14ac:dyDescent="0.25">
      <c r="A22" s="11" t="s">
        <v>64</v>
      </c>
      <c r="C22" s="14"/>
      <c r="D22" s="14"/>
      <c r="F22" s="14"/>
      <c r="G22" s="14"/>
      <c r="H22" s="14"/>
      <c r="I22" s="14"/>
      <c r="J22" s="14"/>
      <c r="K22" s="14"/>
    </row>
    <row r="23" spans="1:12" x14ac:dyDescent="0.25">
      <c r="A23" s="14" t="s">
        <v>65</v>
      </c>
      <c r="C23" s="14"/>
      <c r="D23" s="14"/>
      <c r="F23" s="14"/>
      <c r="G23" s="14"/>
      <c r="H23" s="14"/>
      <c r="I23" s="14"/>
      <c r="J23" s="14"/>
      <c r="K23" s="14"/>
    </row>
    <row r="24" spans="1:12" x14ac:dyDescent="0.25">
      <c r="A24" s="14" t="s">
        <v>66</v>
      </c>
      <c r="C24" s="14">
        <v>202433</v>
      </c>
      <c r="D24" s="14"/>
      <c r="F24" s="14">
        <v>122248</v>
      </c>
      <c r="G24" s="14"/>
      <c r="H24" s="14"/>
      <c r="I24" s="14"/>
      <c r="J24" s="14"/>
      <c r="K24" s="14"/>
    </row>
    <row r="25" spans="1:12" x14ac:dyDescent="0.25">
      <c r="A25" s="14" t="s">
        <v>67</v>
      </c>
      <c r="B25" s="14"/>
      <c r="C25" s="14">
        <v>13927</v>
      </c>
      <c r="D25" s="14"/>
      <c r="E25" s="14"/>
      <c r="F25" s="12">
        <v>21815</v>
      </c>
      <c r="G25" s="14"/>
      <c r="H25" s="14"/>
      <c r="I25" s="14"/>
      <c r="J25" s="14"/>
      <c r="K25" s="14"/>
    </row>
    <row r="26" spans="1:12" x14ac:dyDescent="0.25">
      <c r="A26" s="14" t="s">
        <v>68</v>
      </c>
      <c r="B26" s="14"/>
      <c r="C26" s="14">
        <v>186330</v>
      </c>
      <c r="D26" s="14"/>
      <c r="E26" s="14"/>
      <c r="F26" s="12">
        <v>125775</v>
      </c>
      <c r="G26" s="14"/>
      <c r="H26" s="14"/>
      <c r="I26" s="14"/>
      <c r="J26" s="14"/>
      <c r="K26" s="14"/>
    </row>
    <row r="27" spans="1:12" x14ac:dyDescent="0.25">
      <c r="A27" s="14" t="s">
        <v>69</v>
      </c>
      <c r="B27" s="14"/>
      <c r="C27" s="14">
        <v>159238</v>
      </c>
      <c r="D27" s="14"/>
      <c r="E27" s="14"/>
      <c r="F27" s="12">
        <v>138895</v>
      </c>
      <c r="G27" s="14"/>
      <c r="H27" s="14"/>
      <c r="I27" s="14"/>
      <c r="J27" s="14"/>
      <c r="K27" s="14"/>
    </row>
    <row r="28" spans="1:12" x14ac:dyDescent="0.25">
      <c r="A28" s="11" t="s">
        <v>70</v>
      </c>
      <c r="B28" s="14"/>
      <c r="C28" s="14">
        <v>561928</v>
      </c>
      <c r="D28" s="14"/>
      <c r="E28" s="14"/>
      <c r="F28" s="12">
        <v>408733</v>
      </c>
      <c r="G28" s="14"/>
      <c r="H28" s="14"/>
      <c r="I28" s="14"/>
      <c r="J28" s="14"/>
      <c r="K28" s="14"/>
    </row>
    <row r="29" spans="1:12" x14ac:dyDescent="0.25">
      <c r="A29" s="14" t="s">
        <v>71</v>
      </c>
      <c r="B29" s="14"/>
      <c r="C29" s="14">
        <v>583616</v>
      </c>
      <c r="D29" s="14"/>
      <c r="E29" s="14"/>
      <c r="F29" s="12">
        <v>497018</v>
      </c>
      <c r="G29" s="14"/>
      <c r="H29" s="14"/>
      <c r="I29" s="14"/>
      <c r="J29" s="14"/>
      <c r="K29" s="14"/>
    </row>
    <row r="30" spans="1:12" x14ac:dyDescent="0.25">
      <c r="A30" s="14" t="s">
        <v>72</v>
      </c>
      <c r="B30" s="14"/>
      <c r="C30" s="14">
        <v>36429</v>
      </c>
      <c r="D30" s="14"/>
      <c r="E30" s="14"/>
      <c r="F30" s="14">
        <v>34379</v>
      </c>
      <c r="G30" s="14"/>
      <c r="H30" s="14"/>
      <c r="I30" s="14"/>
      <c r="J30" s="14"/>
      <c r="K30" s="14"/>
      <c r="L30" s="14"/>
    </row>
    <row r="31" spans="1:12" x14ac:dyDescent="0.25">
      <c r="A31" s="14" t="s">
        <v>73</v>
      </c>
      <c r="B31" s="14"/>
      <c r="C31" s="14">
        <v>108827</v>
      </c>
      <c r="D31" s="14"/>
      <c r="E31" s="14"/>
      <c r="F31" s="14">
        <v>121727</v>
      </c>
      <c r="G31" s="14"/>
      <c r="H31" s="14"/>
      <c r="I31" s="14"/>
      <c r="J31" s="14"/>
      <c r="K31" s="14"/>
      <c r="L31" s="14"/>
    </row>
    <row r="32" spans="1:12" x14ac:dyDescent="0.25">
      <c r="A32" s="14" t="s">
        <v>170</v>
      </c>
      <c r="B32" s="14"/>
      <c r="C32" s="14">
        <v>9443</v>
      </c>
      <c r="D32" s="14"/>
      <c r="E32" s="14"/>
      <c r="F32" s="14" t="s">
        <v>78</v>
      </c>
      <c r="G32" s="14"/>
      <c r="H32" s="14"/>
      <c r="I32" s="14"/>
      <c r="J32" s="14"/>
      <c r="K32" s="14"/>
      <c r="L32" s="14"/>
    </row>
    <row r="33" spans="1:11" x14ac:dyDescent="0.25">
      <c r="A33" s="11" t="s">
        <v>74</v>
      </c>
      <c r="B33" s="14"/>
      <c r="C33" s="14">
        <v>1300243</v>
      </c>
      <c r="D33" s="14"/>
      <c r="E33" s="14"/>
      <c r="F33" s="12">
        <v>1061857</v>
      </c>
      <c r="G33" s="14"/>
      <c r="H33" s="14"/>
      <c r="I33" s="14"/>
      <c r="J33" s="14"/>
      <c r="K33" s="14"/>
    </row>
    <row r="34" spans="1:11" x14ac:dyDescent="0.25">
      <c r="A34" s="14" t="s">
        <v>75</v>
      </c>
      <c r="B34" s="14"/>
      <c r="C34" s="14"/>
      <c r="D34" s="14"/>
      <c r="E34" s="14"/>
      <c r="G34" s="14"/>
      <c r="H34" s="14"/>
      <c r="I34" s="14"/>
      <c r="J34" s="14"/>
      <c r="K34" s="14"/>
    </row>
    <row r="35" spans="1:11" x14ac:dyDescent="0.25">
      <c r="A35" s="14" t="s">
        <v>76</v>
      </c>
      <c r="B35" s="14"/>
      <c r="C35" s="14"/>
      <c r="D35" s="14"/>
      <c r="E35" s="14"/>
      <c r="G35" s="14"/>
      <c r="H35" s="14"/>
      <c r="I35" s="14"/>
      <c r="J35" s="14"/>
      <c r="K35" s="14"/>
    </row>
    <row r="36" spans="1:11" x14ac:dyDescent="0.25">
      <c r="A36" s="14" t="s">
        <v>77</v>
      </c>
      <c r="B36" s="14"/>
      <c r="C36" s="14"/>
      <c r="D36" s="14"/>
      <c r="E36" s="14"/>
      <c r="G36" s="14"/>
      <c r="H36" s="14"/>
      <c r="I36" s="14"/>
      <c r="J36" s="14"/>
      <c r="K36" s="14"/>
    </row>
    <row r="37" spans="1:11" x14ac:dyDescent="0.25">
      <c r="A37" s="14" t="s">
        <v>203</v>
      </c>
      <c r="B37" s="14"/>
      <c r="C37" s="14" t="s">
        <v>78</v>
      </c>
      <c r="D37" s="14"/>
      <c r="E37" s="14"/>
      <c r="F37" s="12" t="s">
        <v>78</v>
      </c>
      <c r="G37" s="14"/>
      <c r="H37" s="14"/>
      <c r="I37" s="14"/>
      <c r="J37" s="14"/>
      <c r="K37" s="14"/>
    </row>
    <row r="38" spans="1:11" x14ac:dyDescent="0.25">
      <c r="A38" s="14" t="s">
        <v>210</v>
      </c>
      <c r="B38" s="14"/>
      <c r="C38" s="14">
        <v>48</v>
      </c>
      <c r="D38" s="14"/>
      <c r="E38" s="14"/>
      <c r="F38" s="12">
        <v>47</v>
      </c>
      <c r="G38" s="14"/>
      <c r="H38" s="14"/>
      <c r="I38" s="14"/>
      <c r="J38" s="14"/>
      <c r="K38" s="14"/>
    </row>
    <row r="39" spans="1:11" x14ac:dyDescent="0.25">
      <c r="A39" s="14" t="s">
        <v>211</v>
      </c>
      <c r="B39" s="14"/>
      <c r="C39" s="14">
        <v>9</v>
      </c>
      <c r="D39" s="14"/>
      <c r="E39" s="14"/>
      <c r="F39" s="12">
        <v>10</v>
      </c>
      <c r="G39" s="14"/>
      <c r="H39" s="14"/>
      <c r="I39" s="14"/>
      <c r="J39" s="14"/>
      <c r="K39" s="14"/>
    </row>
    <row r="40" spans="1:11" x14ac:dyDescent="0.25">
      <c r="A40" s="14" t="s">
        <v>79</v>
      </c>
      <c r="B40" s="14"/>
      <c r="C40" s="14">
        <v>740867</v>
      </c>
      <c r="D40" s="14"/>
      <c r="E40" s="14"/>
      <c r="F40" s="12">
        <v>690739</v>
      </c>
      <c r="G40" s="14"/>
      <c r="H40" s="14"/>
      <c r="I40" s="14"/>
      <c r="J40" s="14"/>
      <c r="K40" s="14"/>
    </row>
    <row r="41" spans="1:11" x14ac:dyDescent="0.25">
      <c r="A41" s="14" t="s">
        <v>80</v>
      </c>
      <c r="B41" s="14"/>
      <c r="C41" s="14">
        <v>532315</v>
      </c>
      <c r="D41" s="14"/>
      <c r="E41" s="14"/>
      <c r="F41" s="12">
        <v>749515</v>
      </c>
      <c r="G41" s="14"/>
      <c r="H41" s="14"/>
      <c r="I41" s="14"/>
      <c r="J41" s="14"/>
      <c r="K41" s="14"/>
    </row>
    <row r="42" spans="1:11" x14ac:dyDescent="0.25">
      <c r="A42" s="14" t="s">
        <v>81</v>
      </c>
      <c r="B42" s="14"/>
      <c r="C42" s="14">
        <v>-17984</v>
      </c>
      <c r="D42" s="14"/>
      <c r="E42" s="14"/>
      <c r="F42" s="12">
        <v>-21418</v>
      </c>
      <c r="G42" s="14"/>
      <c r="H42" s="14"/>
      <c r="I42" s="14"/>
      <c r="J42" s="14"/>
      <c r="K42" s="14"/>
    </row>
    <row r="43" spans="1:11" x14ac:dyDescent="0.25">
      <c r="A43" s="14" t="s">
        <v>209</v>
      </c>
      <c r="B43" s="14"/>
      <c r="C43" s="14">
        <v>-104384</v>
      </c>
      <c r="D43" s="14"/>
      <c r="E43" s="14"/>
      <c r="F43" s="12">
        <v>-103948</v>
      </c>
      <c r="G43" s="14"/>
      <c r="H43" s="14"/>
      <c r="I43" s="14"/>
      <c r="J43" s="14"/>
      <c r="K43" s="14"/>
    </row>
    <row r="44" spans="1:11" x14ac:dyDescent="0.25">
      <c r="A44" s="15" t="s">
        <v>82</v>
      </c>
      <c r="C44" s="12">
        <v>1150871</v>
      </c>
      <c r="F44" s="12">
        <v>1314945</v>
      </c>
    </row>
    <row r="45" spans="1:11" x14ac:dyDescent="0.25">
      <c r="A45" s="12" t="s">
        <v>83</v>
      </c>
      <c r="C45" s="12">
        <v>11001</v>
      </c>
      <c r="F45" s="12">
        <v>5628</v>
      </c>
    </row>
    <row r="46" spans="1:11" x14ac:dyDescent="0.25">
      <c r="A46" s="15" t="s">
        <v>171</v>
      </c>
      <c r="C46" s="12">
        <v>1161872</v>
      </c>
      <c r="F46" s="12">
        <v>1320573</v>
      </c>
    </row>
    <row r="47" spans="1:11" x14ac:dyDescent="0.25">
      <c r="A47" s="15" t="s">
        <v>84</v>
      </c>
      <c r="C47" s="12">
        <v>2462115</v>
      </c>
      <c r="F47" s="12">
        <v>2382430</v>
      </c>
    </row>
    <row r="49" spans="1:6" x14ac:dyDescent="0.25">
      <c r="A49" s="12" t="s">
        <v>172</v>
      </c>
      <c r="C49" s="12">
        <f>SUM(C9:C47)</f>
        <v>15337619</v>
      </c>
      <c r="F49" s="12">
        <f>SUM(F9:F47)</f>
        <v>14873598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4668-4610-4147-8955-B9B48CF52F8D}">
  <sheetPr>
    <tabColor theme="4" tint="0.59999389629810485"/>
  </sheetPr>
  <dimension ref="A2:X45"/>
  <sheetViews>
    <sheetView workbookViewId="0"/>
  </sheetViews>
  <sheetFormatPr defaultRowHeight="15" x14ac:dyDescent="0.25"/>
  <cols>
    <col min="1" max="3" width="9.140625" style="12"/>
    <col min="4" max="4" width="21.85546875" style="12" bestFit="1" customWidth="1"/>
    <col min="5" max="9" width="9.140625" style="12"/>
    <col min="10" max="10" width="13.28515625" style="12" bestFit="1" customWidth="1"/>
    <col min="11" max="15" width="9.140625" style="12"/>
    <col min="16" max="16" width="24.42578125" style="12" bestFit="1" customWidth="1"/>
    <col min="17" max="21" width="9.140625" style="12"/>
    <col min="22" max="22" width="13.28515625" style="12" bestFit="1" customWidth="1"/>
    <col min="23" max="16384" width="9.140625" style="12"/>
  </cols>
  <sheetData>
    <row r="2" spans="1:24" x14ac:dyDescent="0.25">
      <c r="A2" s="11" t="s">
        <v>85</v>
      </c>
      <c r="B2" s="11"/>
      <c r="C2" s="11"/>
      <c r="D2" s="11"/>
      <c r="E2" s="11"/>
      <c r="F2" s="11"/>
    </row>
    <row r="4" spans="1:24" x14ac:dyDescent="0.25">
      <c r="A4" s="14"/>
      <c r="B4" s="14"/>
      <c r="C4" s="14"/>
      <c r="D4" s="11" t="s">
        <v>86</v>
      </c>
      <c r="E4" s="11"/>
      <c r="F4" s="11"/>
      <c r="G4" s="11"/>
      <c r="H4" s="11"/>
      <c r="I4" s="11"/>
      <c r="J4" s="11"/>
      <c r="K4" s="11"/>
      <c r="L4" s="11"/>
      <c r="P4" s="15" t="s">
        <v>87</v>
      </c>
      <c r="Q4" s="15"/>
      <c r="R4" s="15"/>
      <c r="S4" s="15"/>
      <c r="T4" s="15"/>
      <c r="U4" s="15"/>
      <c r="V4" s="15"/>
      <c r="W4" s="15"/>
      <c r="X4" s="15"/>
    </row>
    <row r="5" spans="1:24" ht="39.950000000000003" customHeight="1" x14ac:dyDescent="0.25">
      <c r="A5" s="14"/>
      <c r="B5" s="14"/>
      <c r="C5" s="14"/>
      <c r="D5" s="13" t="s">
        <v>49</v>
      </c>
      <c r="E5" s="13"/>
      <c r="F5" s="13"/>
      <c r="G5" s="14"/>
      <c r="H5" s="14"/>
      <c r="I5" s="14"/>
      <c r="J5" s="13" t="s">
        <v>88</v>
      </c>
      <c r="K5" s="13"/>
      <c r="L5" s="13"/>
      <c r="P5" s="13" t="s">
        <v>49</v>
      </c>
      <c r="Q5" s="13"/>
      <c r="R5" s="13"/>
      <c r="V5" s="13" t="s">
        <v>88</v>
      </c>
      <c r="W5" s="13"/>
      <c r="X5" s="13"/>
    </row>
    <row r="6" spans="1:24" x14ac:dyDescent="0.25">
      <c r="A6" s="11" t="s">
        <v>89</v>
      </c>
      <c r="B6" s="11"/>
      <c r="C6" s="11"/>
      <c r="D6" s="11">
        <v>979350</v>
      </c>
      <c r="E6" s="11"/>
      <c r="F6" s="14"/>
      <c r="G6" s="14"/>
      <c r="H6" s="14"/>
      <c r="I6" s="14"/>
      <c r="J6" s="11">
        <v>1054464</v>
      </c>
      <c r="K6" s="11"/>
      <c r="L6" s="14"/>
      <c r="P6" s="15">
        <v>2868667</v>
      </c>
      <c r="Q6" s="15"/>
      <c r="V6" s="15">
        <v>2973841</v>
      </c>
      <c r="W6" s="15"/>
    </row>
    <row r="7" spans="1:24" x14ac:dyDescent="0.25">
      <c r="A7" s="11" t="s">
        <v>90</v>
      </c>
      <c r="B7" s="11"/>
      <c r="C7" s="11"/>
      <c r="D7" s="11">
        <v>578903</v>
      </c>
      <c r="E7" s="11"/>
      <c r="F7" s="14"/>
      <c r="G7" s="14"/>
      <c r="H7" s="14"/>
      <c r="I7" s="14"/>
      <c r="J7" s="11">
        <v>625527</v>
      </c>
      <c r="K7" s="11"/>
      <c r="L7" s="14"/>
      <c r="P7" s="15">
        <v>1686492</v>
      </c>
      <c r="Q7" s="15"/>
      <c r="V7" s="15">
        <v>1750410</v>
      </c>
      <c r="W7" s="15"/>
    </row>
    <row r="8" spans="1:24" x14ac:dyDescent="0.25">
      <c r="A8" s="11" t="s">
        <v>91</v>
      </c>
      <c r="B8" s="11"/>
      <c r="C8" s="11"/>
      <c r="D8" s="11">
        <v>400447</v>
      </c>
      <c r="E8" s="11"/>
      <c r="G8" s="14"/>
      <c r="H8" s="14"/>
      <c r="I8" s="14"/>
      <c r="J8" s="11">
        <v>428937</v>
      </c>
      <c r="K8" s="11"/>
      <c r="P8" s="15">
        <v>1182175</v>
      </c>
      <c r="Q8" s="15"/>
      <c r="V8" s="15">
        <v>1223431</v>
      </c>
      <c r="W8" s="15"/>
    </row>
    <row r="9" spans="1:24" x14ac:dyDescent="0.25">
      <c r="A9" s="11" t="s">
        <v>92</v>
      </c>
      <c r="B9" s="11"/>
      <c r="C9" s="11"/>
      <c r="D9" s="11">
        <v>288991</v>
      </c>
      <c r="E9" s="11"/>
      <c r="G9" s="14"/>
      <c r="H9" s="14"/>
      <c r="I9" s="14"/>
      <c r="J9" s="11">
        <v>291706</v>
      </c>
      <c r="K9" s="11"/>
      <c r="P9" s="15">
        <v>870859</v>
      </c>
      <c r="Q9" s="15"/>
      <c r="V9" s="15">
        <v>852031</v>
      </c>
      <c r="W9" s="15"/>
    </row>
    <row r="10" spans="1:24" x14ac:dyDescent="0.25">
      <c r="A10" s="11"/>
      <c r="B10" s="11"/>
      <c r="C10" s="11"/>
      <c r="D10" s="11"/>
      <c r="E10" s="11"/>
      <c r="G10" s="14"/>
      <c r="H10" s="14"/>
      <c r="I10" s="14"/>
      <c r="J10" s="11"/>
      <c r="K10" s="11"/>
      <c r="P10" s="15"/>
      <c r="Q10" s="15"/>
      <c r="V10" s="15"/>
      <c r="W10" s="15"/>
    </row>
    <row r="11" spans="1:24" x14ac:dyDescent="0.25">
      <c r="A11" s="11"/>
      <c r="B11" s="11"/>
      <c r="C11" s="11"/>
      <c r="D11" s="11"/>
      <c r="E11" s="11"/>
      <c r="G11" s="14"/>
      <c r="H11" s="14"/>
      <c r="I11" s="14"/>
      <c r="J11" s="11"/>
      <c r="K11" s="11"/>
      <c r="P11" s="15"/>
      <c r="Q11" s="15"/>
      <c r="V11" s="15"/>
      <c r="W11" s="15"/>
    </row>
    <row r="12" spans="1:24" x14ac:dyDescent="0.25">
      <c r="A12" s="11" t="s">
        <v>186</v>
      </c>
      <c r="B12" s="11"/>
      <c r="C12" s="11"/>
      <c r="D12" s="11">
        <v>4690</v>
      </c>
      <c r="E12" s="11"/>
      <c r="G12" s="14"/>
      <c r="H12" s="14"/>
      <c r="I12" s="14"/>
      <c r="J12" s="11">
        <v>1845</v>
      </c>
      <c r="K12" s="11"/>
      <c r="P12" s="15">
        <v>11787</v>
      </c>
      <c r="Q12" s="15"/>
      <c r="V12" s="15">
        <v>5722</v>
      </c>
      <c r="W12" s="15"/>
    </row>
    <row r="13" spans="1:24" x14ac:dyDescent="0.25">
      <c r="A13" s="11" t="s">
        <v>94</v>
      </c>
      <c r="B13" s="11"/>
      <c r="C13" s="11"/>
      <c r="D13" s="11">
        <v>106766</v>
      </c>
      <c r="E13" s="11"/>
      <c r="G13" s="14"/>
      <c r="H13" s="14"/>
      <c r="I13" s="14"/>
      <c r="J13" s="11">
        <v>135386</v>
      </c>
      <c r="K13" s="11"/>
      <c r="P13" s="15">
        <v>299529</v>
      </c>
      <c r="Q13" s="15"/>
      <c r="V13" s="15">
        <v>365678</v>
      </c>
      <c r="W13" s="15"/>
    </row>
    <row r="14" spans="1:24" x14ac:dyDescent="0.25">
      <c r="A14" s="11" t="s">
        <v>95</v>
      </c>
      <c r="B14" s="11"/>
      <c r="C14" s="11"/>
      <c r="D14" s="14"/>
      <c r="E14" s="14"/>
      <c r="G14" s="14"/>
      <c r="H14" s="14"/>
      <c r="I14" s="14"/>
      <c r="J14" s="14"/>
      <c r="K14" s="14"/>
    </row>
    <row r="15" spans="1:24" x14ac:dyDescent="0.25">
      <c r="A15" s="11" t="s">
        <v>96</v>
      </c>
      <c r="B15" s="11"/>
      <c r="C15" s="11"/>
      <c r="D15" s="11">
        <v>-6884</v>
      </c>
      <c r="E15" s="11"/>
      <c r="G15" s="14"/>
      <c r="H15" s="14"/>
      <c r="I15" s="14"/>
      <c r="J15" s="11">
        <v>-5038</v>
      </c>
      <c r="K15" s="11"/>
      <c r="P15" s="15">
        <v>-19155</v>
      </c>
      <c r="Q15" s="15"/>
      <c r="V15" s="15">
        <v>-17913</v>
      </c>
      <c r="W15" s="15"/>
    </row>
    <row r="16" spans="1:24" x14ac:dyDescent="0.25">
      <c r="A16" s="11" t="s">
        <v>97</v>
      </c>
      <c r="B16" s="11"/>
      <c r="C16" s="11"/>
      <c r="D16" s="11">
        <v>134</v>
      </c>
      <c r="E16" s="11"/>
      <c r="G16" s="14"/>
      <c r="H16" s="14"/>
      <c r="I16" s="14"/>
      <c r="J16" s="11">
        <v>513</v>
      </c>
      <c r="K16" s="11"/>
      <c r="P16" s="15">
        <v>302</v>
      </c>
      <c r="Q16" s="15"/>
      <c r="V16" s="15">
        <v>764</v>
      </c>
      <c r="W16" s="15"/>
    </row>
    <row r="17" spans="1:24" x14ac:dyDescent="0.25">
      <c r="A17" s="11" t="s">
        <v>176</v>
      </c>
      <c r="B17" s="11"/>
      <c r="C17" s="11"/>
      <c r="D17" s="11">
        <v>-4680</v>
      </c>
      <c r="E17" s="11"/>
      <c r="G17" s="14"/>
      <c r="H17" s="14"/>
      <c r="I17" s="14"/>
      <c r="J17" s="11">
        <v>-4456</v>
      </c>
      <c r="K17" s="11"/>
      <c r="P17" s="15">
        <v>-14067</v>
      </c>
      <c r="Q17" s="15"/>
      <c r="V17" s="15">
        <v>-8095</v>
      </c>
      <c r="W17" s="15"/>
    </row>
    <row r="18" spans="1:24" x14ac:dyDescent="0.25">
      <c r="A18" s="11" t="s">
        <v>98</v>
      </c>
      <c r="B18" s="11"/>
      <c r="C18" s="11"/>
      <c r="D18" s="11">
        <v>-11430</v>
      </c>
      <c r="E18" s="11"/>
      <c r="G18" s="14"/>
      <c r="H18" s="14"/>
      <c r="I18" s="14"/>
      <c r="J18" s="11">
        <v>-8981</v>
      </c>
      <c r="K18" s="11"/>
      <c r="P18" s="15">
        <v>-32920</v>
      </c>
      <c r="Q18" s="15"/>
      <c r="V18" s="15">
        <v>-25244</v>
      </c>
      <c r="W18" s="15"/>
    </row>
    <row r="19" spans="1:24" x14ac:dyDescent="0.25">
      <c r="A19" s="11" t="s">
        <v>99</v>
      </c>
      <c r="B19" s="11"/>
      <c r="C19" s="11"/>
      <c r="D19" s="11">
        <v>95336</v>
      </c>
      <c r="E19" s="11"/>
      <c r="G19" s="14"/>
      <c r="H19" s="14"/>
      <c r="I19" s="14"/>
      <c r="J19" s="11">
        <v>126405</v>
      </c>
      <c r="K19" s="11"/>
      <c r="P19" s="15">
        <v>266609</v>
      </c>
      <c r="Q19" s="15"/>
      <c r="V19" s="15">
        <v>340434</v>
      </c>
      <c r="W19" s="15"/>
    </row>
    <row r="20" spans="1:24" x14ac:dyDescent="0.25">
      <c r="A20" s="11" t="s">
        <v>100</v>
      </c>
      <c r="B20" s="11"/>
      <c r="C20" s="11"/>
      <c r="D20" s="11">
        <v>24024</v>
      </c>
      <c r="E20" s="11"/>
      <c r="G20" s="14"/>
      <c r="H20" s="14"/>
      <c r="I20" s="14"/>
      <c r="J20" s="11">
        <v>31266</v>
      </c>
      <c r="K20" s="11"/>
      <c r="P20" s="15">
        <v>64604</v>
      </c>
      <c r="Q20" s="15"/>
      <c r="V20" s="15">
        <v>84768</v>
      </c>
      <c r="W20" s="15"/>
    </row>
    <row r="21" spans="1:24" x14ac:dyDescent="0.25">
      <c r="A21" s="11" t="s">
        <v>101</v>
      </c>
      <c r="B21" s="11"/>
      <c r="C21" s="11"/>
      <c r="D21" s="11">
        <v>71312</v>
      </c>
      <c r="E21" s="11"/>
      <c r="F21" s="14"/>
      <c r="G21" s="14"/>
      <c r="H21" s="14"/>
      <c r="I21" s="14"/>
      <c r="J21" s="11">
        <v>95139</v>
      </c>
      <c r="K21" s="11"/>
      <c r="L21" s="14"/>
      <c r="P21" s="15">
        <v>202005</v>
      </c>
      <c r="Q21" s="15"/>
      <c r="V21" s="15">
        <v>255666</v>
      </c>
      <c r="W21" s="15"/>
    </row>
    <row r="22" spans="1:24" x14ac:dyDescent="0.25">
      <c r="A22" s="11" t="s">
        <v>187</v>
      </c>
      <c r="B22" s="11"/>
      <c r="C22" s="11"/>
      <c r="D22" s="11">
        <v>-393</v>
      </c>
      <c r="E22" s="11"/>
      <c r="F22" s="14"/>
      <c r="G22" s="14"/>
      <c r="H22" s="14"/>
      <c r="I22" s="14"/>
      <c r="J22" s="11">
        <v>-41</v>
      </c>
      <c r="K22" s="11"/>
      <c r="L22" s="14"/>
      <c r="P22" s="15">
        <v>-897</v>
      </c>
      <c r="Q22" s="15"/>
      <c r="V22" s="15">
        <v>32</v>
      </c>
      <c r="W22" s="15"/>
    </row>
    <row r="23" spans="1:24" x14ac:dyDescent="0.25">
      <c r="A23" s="11" t="s">
        <v>102</v>
      </c>
      <c r="B23" s="11"/>
      <c r="C23" s="11"/>
      <c r="D23" s="11">
        <v>71705</v>
      </c>
      <c r="E23" s="11"/>
      <c r="G23" s="14"/>
      <c r="H23" s="14"/>
      <c r="I23" s="14"/>
      <c r="J23" s="11">
        <v>95180</v>
      </c>
      <c r="K23" s="11"/>
      <c r="P23" s="15">
        <v>202902</v>
      </c>
      <c r="Q23" s="15"/>
      <c r="V23" s="15">
        <v>255634</v>
      </c>
      <c r="W23" s="15"/>
    </row>
    <row r="24" spans="1:24" x14ac:dyDescent="0.25">
      <c r="A24" s="11" t="s">
        <v>103</v>
      </c>
      <c r="B24" s="11"/>
      <c r="C24" s="11"/>
      <c r="D24" s="14"/>
      <c r="E24" s="14"/>
      <c r="G24" s="14"/>
      <c r="H24" s="14"/>
      <c r="I24" s="14"/>
      <c r="J24" s="14"/>
      <c r="K24" s="14"/>
    </row>
    <row r="25" spans="1:24" x14ac:dyDescent="0.25">
      <c r="A25" s="11" t="s">
        <v>104</v>
      </c>
      <c r="B25" s="11"/>
      <c r="C25" s="11"/>
      <c r="D25" s="14"/>
      <c r="E25" s="14"/>
      <c r="G25" s="14"/>
      <c r="H25" s="14"/>
      <c r="I25" s="14"/>
      <c r="J25" s="14"/>
      <c r="K25" s="14"/>
    </row>
    <row r="26" spans="1:24" x14ac:dyDescent="0.25">
      <c r="A26" s="11" t="s">
        <v>105</v>
      </c>
      <c r="B26" s="11"/>
      <c r="C26" s="11"/>
      <c r="D26" s="11">
        <v>1.28</v>
      </c>
      <c r="E26" s="11"/>
      <c r="G26" s="14"/>
      <c r="H26" s="14"/>
      <c r="I26" s="14"/>
      <c r="J26" s="11">
        <v>1.7</v>
      </c>
      <c r="K26" s="11"/>
      <c r="P26" s="15">
        <v>3.6</v>
      </c>
      <c r="Q26" s="15"/>
      <c r="V26" s="15">
        <v>4.57</v>
      </c>
      <c r="W26" s="15"/>
    </row>
    <row r="27" spans="1:24" x14ac:dyDescent="0.25">
      <c r="A27" s="11" t="s">
        <v>106</v>
      </c>
      <c r="B27" s="11"/>
      <c r="C27" s="11"/>
      <c r="D27" s="11">
        <v>1.27</v>
      </c>
      <c r="E27" s="11"/>
      <c r="G27" s="14"/>
      <c r="H27" s="14"/>
      <c r="I27" s="14"/>
      <c r="J27" s="11">
        <v>1.69</v>
      </c>
      <c r="K27" s="11"/>
      <c r="P27" s="15">
        <v>3.59</v>
      </c>
      <c r="Q27" s="15"/>
      <c r="V27" s="15">
        <v>4.5599999999999996</v>
      </c>
      <c r="W27" s="15"/>
    </row>
    <row r="28" spans="1:24" x14ac:dyDescent="0.25">
      <c r="A28" s="11" t="s">
        <v>107</v>
      </c>
      <c r="B28" s="11"/>
      <c r="C28" s="11"/>
      <c r="D28" s="14"/>
      <c r="E28" s="14"/>
      <c r="G28" s="14"/>
      <c r="H28" s="14"/>
      <c r="I28" s="14"/>
      <c r="J28" s="14"/>
      <c r="K28" s="14"/>
    </row>
    <row r="29" spans="1:24" x14ac:dyDescent="0.25">
      <c r="A29" s="11" t="s">
        <v>212</v>
      </c>
      <c r="B29" s="11"/>
      <c r="C29" s="11"/>
      <c r="D29" s="11">
        <v>56214</v>
      </c>
      <c r="E29" s="11"/>
      <c r="F29" s="15"/>
      <c r="G29" s="14"/>
      <c r="H29" s="14"/>
      <c r="I29" s="14"/>
      <c r="J29" s="11">
        <v>55963</v>
      </c>
      <c r="K29" s="11"/>
      <c r="L29" s="15"/>
      <c r="P29" s="15">
        <v>56323</v>
      </c>
      <c r="Q29" s="15"/>
      <c r="R29" s="15"/>
      <c r="V29" s="15">
        <v>55911</v>
      </c>
      <c r="W29" s="15"/>
      <c r="X29" s="15"/>
    </row>
    <row r="30" spans="1:24" x14ac:dyDescent="0.25">
      <c r="A30" s="11" t="s">
        <v>213</v>
      </c>
      <c r="B30" s="11"/>
      <c r="C30" s="11"/>
      <c r="D30" s="11">
        <v>56351</v>
      </c>
      <c r="E30" s="11"/>
      <c r="F30" s="15"/>
      <c r="G30" s="14"/>
      <c r="H30" s="14"/>
      <c r="I30" s="14"/>
      <c r="J30" s="11">
        <v>56156</v>
      </c>
      <c r="K30" s="11"/>
      <c r="L30" s="15"/>
      <c r="P30" s="15">
        <v>56514</v>
      </c>
      <c r="Q30" s="15"/>
      <c r="R30" s="15"/>
      <c r="V30" s="15">
        <v>56121</v>
      </c>
      <c r="W30" s="15"/>
      <c r="X30" s="15"/>
    </row>
    <row r="31" spans="1:24" x14ac:dyDescent="0.25">
      <c r="A31" s="14"/>
      <c r="B31" s="14"/>
      <c r="C31" s="14"/>
      <c r="D31" s="14"/>
      <c r="E31" s="14"/>
      <c r="G31" s="14"/>
      <c r="H31" s="14"/>
      <c r="I31" s="14"/>
      <c r="J31" s="14"/>
      <c r="K31" s="14"/>
    </row>
    <row r="32" spans="1:24" x14ac:dyDescent="0.25">
      <c r="A32" s="14"/>
      <c r="B32" s="14"/>
      <c r="C32" s="14"/>
      <c r="D32" s="14">
        <f>SUM(D6:D30)</f>
        <v>2710838.55</v>
      </c>
      <c r="E32" s="14"/>
      <c r="F32" s="14"/>
      <c r="G32" s="14"/>
      <c r="H32" s="14"/>
      <c r="I32" s="14"/>
      <c r="J32" s="14">
        <f>SUM(J6:J30)</f>
        <v>2979974.39</v>
      </c>
      <c r="K32" s="14"/>
      <c r="L32" s="14"/>
      <c r="P32" s="14">
        <f>SUM(P6:P30)</f>
        <v>7701736.1899999995</v>
      </c>
      <c r="V32" s="14">
        <f>SUM(V6:V30)</f>
        <v>8169200.1299999999</v>
      </c>
    </row>
    <row r="33" spans="1:12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x14ac:dyDescent="0.25">
      <c r="A35" s="14"/>
      <c r="B35" s="14"/>
      <c r="C35" s="14"/>
      <c r="D35" s="14"/>
      <c r="E35" s="14"/>
      <c r="G35" s="14"/>
      <c r="H35" s="14"/>
      <c r="I35" s="14"/>
      <c r="J35" s="14"/>
      <c r="K35" s="14"/>
    </row>
    <row r="36" spans="1:12" x14ac:dyDescent="0.25">
      <c r="A36" s="14"/>
      <c r="B36" s="14"/>
      <c r="C36" s="14"/>
      <c r="D36" s="14"/>
      <c r="E36" s="14"/>
      <c r="G36" s="14"/>
      <c r="H36" s="14"/>
      <c r="I36" s="14"/>
      <c r="J36" s="14"/>
      <c r="K36" s="14"/>
    </row>
    <row r="37" spans="1:12" x14ac:dyDescent="0.25">
      <c r="A37" s="14"/>
      <c r="B37" s="14"/>
      <c r="C37" s="14"/>
      <c r="D37" s="14"/>
      <c r="E37" s="14"/>
      <c r="G37" s="14"/>
      <c r="H37" s="14"/>
      <c r="I37" s="14"/>
      <c r="J37" s="14"/>
      <c r="K37" s="14"/>
    </row>
    <row r="38" spans="1:12" x14ac:dyDescent="0.25">
      <c r="A38" s="14"/>
      <c r="B38" s="14"/>
      <c r="C38" s="14"/>
      <c r="D38" s="14"/>
      <c r="E38" s="14"/>
      <c r="G38" s="14"/>
      <c r="H38" s="14"/>
      <c r="I38" s="14"/>
      <c r="J38" s="14"/>
      <c r="K38" s="14"/>
    </row>
    <row r="39" spans="1:12" x14ac:dyDescent="0.25">
      <c r="A39" s="14"/>
      <c r="B39" s="14"/>
      <c r="C39" s="14"/>
      <c r="D39" s="14"/>
      <c r="E39" s="14"/>
      <c r="G39" s="14"/>
      <c r="H39" s="14"/>
      <c r="I39" s="14"/>
      <c r="J39" s="14"/>
      <c r="K39" s="14"/>
    </row>
    <row r="40" spans="1:12" x14ac:dyDescent="0.25">
      <c r="A40" s="14"/>
      <c r="B40" s="14"/>
      <c r="C40" s="14"/>
      <c r="D40" s="14"/>
      <c r="E40" s="14"/>
      <c r="G40" s="14"/>
      <c r="H40" s="14"/>
      <c r="I40" s="14"/>
      <c r="J40" s="14"/>
      <c r="K40" s="14"/>
    </row>
    <row r="41" spans="1:12" x14ac:dyDescent="0.25">
      <c r="A41" s="14"/>
      <c r="B41" s="14"/>
      <c r="C41" s="14"/>
      <c r="D41" s="14"/>
      <c r="E41" s="14"/>
      <c r="G41" s="14"/>
      <c r="H41" s="14"/>
      <c r="I41" s="14"/>
      <c r="J41" s="14"/>
      <c r="K41" s="14"/>
    </row>
    <row r="42" spans="1:12" x14ac:dyDescent="0.25">
      <c r="A42" s="14"/>
      <c r="B42" s="14"/>
      <c r="C42" s="14"/>
      <c r="D42" s="14"/>
      <c r="E42" s="14"/>
      <c r="G42" s="14"/>
      <c r="H42" s="14"/>
      <c r="I42" s="14"/>
      <c r="J42" s="14"/>
      <c r="K42" s="14"/>
    </row>
    <row r="43" spans="1:12" x14ac:dyDescent="0.25">
      <c r="A43" s="14"/>
      <c r="B43" s="14"/>
      <c r="C43" s="14"/>
      <c r="D43" s="14"/>
      <c r="E43" s="14"/>
      <c r="G43" s="14"/>
      <c r="H43" s="14"/>
      <c r="I43" s="14"/>
      <c r="J43" s="14"/>
      <c r="K43" s="14"/>
    </row>
    <row r="44" spans="1:12" x14ac:dyDescent="0.25">
      <c r="A44" s="14"/>
      <c r="B44" s="14"/>
      <c r="C44" s="14"/>
      <c r="D44" s="14"/>
      <c r="E44" s="14"/>
      <c r="G44" s="14"/>
      <c r="H44" s="14"/>
      <c r="I44" s="14"/>
      <c r="J44" s="14"/>
      <c r="K44" s="14"/>
    </row>
    <row r="45" spans="1:12" x14ac:dyDescent="0.25">
      <c r="A45" s="14"/>
      <c r="B45" s="14"/>
      <c r="C45" s="14"/>
      <c r="D45" s="14"/>
      <c r="E45" s="14"/>
      <c r="G45" s="14"/>
      <c r="H45" s="14"/>
      <c r="I45" s="14"/>
      <c r="J45" s="14"/>
      <c r="K45" s="1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96E41-9A0B-46CE-B7EA-60EADAC575B1}">
  <sheetPr>
    <tabColor theme="4" tint="0.59999389629810485"/>
  </sheetPr>
  <dimension ref="A2:X45"/>
  <sheetViews>
    <sheetView workbookViewId="0"/>
  </sheetViews>
  <sheetFormatPr defaultRowHeight="15" x14ac:dyDescent="0.25"/>
  <cols>
    <col min="1" max="3" width="9.140625" style="12"/>
    <col min="4" max="4" width="21.85546875" style="12" bestFit="1" customWidth="1"/>
    <col min="5" max="9" width="9.140625" style="12"/>
    <col min="10" max="10" width="13.28515625" style="12" bestFit="1" customWidth="1"/>
    <col min="11" max="15" width="9.140625" style="12"/>
    <col min="16" max="16" width="24.140625" style="12" bestFit="1" customWidth="1"/>
    <col min="17" max="21" width="9.140625" style="12"/>
    <col min="22" max="22" width="13.28515625" style="12" bestFit="1" customWidth="1"/>
    <col min="23" max="16384" width="9.140625" style="12"/>
  </cols>
  <sheetData>
    <row r="2" spans="1:24" x14ac:dyDescent="0.25">
      <c r="A2" s="11" t="s">
        <v>85</v>
      </c>
      <c r="B2" s="11"/>
      <c r="C2" s="11"/>
      <c r="D2" s="11"/>
      <c r="E2" s="11"/>
      <c r="F2" s="11"/>
    </row>
    <row r="4" spans="1:24" x14ac:dyDescent="0.25">
      <c r="A4" s="14"/>
      <c r="B4" s="14"/>
      <c r="C4" s="14"/>
      <c r="D4" s="11" t="s">
        <v>86</v>
      </c>
      <c r="E4" s="11"/>
      <c r="F4" s="11"/>
      <c r="G4" s="11"/>
      <c r="H4" s="11"/>
      <c r="I4" s="11"/>
      <c r="J4" s="11"/>
      <c r="K4" s="11"/>
      <c r="L4" s="11"/>
      <c r="P4" s="15" t="s">
        <v>144</v>
      </c>
      <c r="Q4" s="15"/>
      <c r="R4" s="15"/>
      <c r="S4" s="15"/>
      <c r="T4" s="15"/>
      <c r="U4" s="15"/>
      <c r="V4" s="15"/>
      <c r="W4" s="15"/>
      <c r="X4" s="15"/>
    </row>
    <row r="5" spans="1:24" ht="39.950000000000003" customHeight="1" x14ac:dyDescent="0.25">
      <c r="A5" s="14"/>
      <c r="B5" s="14"/>
      <c r="C5" s="14"/>
      <c r="D5" s="13" t="s">
        <v>143</v>
      </c>
      <c r="E5" s="13"/>
      <c r="F5" s="13"/>
      <c r="G5" s="14"/>
      <c r="H5" s="14"/>
      <c r="I5" s="14"/>
      <c r="J5" s="13" t="s">
        <v>145</v>
      </c>
      <c r="K5" s="13"/>
      <c r="L5" s="13"/>
      <c r="P5" s="13" t="s">
        <v>143</v>
      </c>
      <c r="Q5" s="13"/>
      <c r="R5" s="13"/>
      <c r="V5" s="13" t="s">
        <v>145</v>
      </c>
      <c r="W5" s="13"/>
      <c r="X5" s="13"/>
    </row>
    <row r="6" spans="1:24" x14ac:dyDescent="0.25">
      <c r="A6" s="11" t="s">
        <v>89</v>
      </c>
      <c r="B6" s="11"/>
      <c r="C6" s="11"/>
      <c r="D6" s="11">
        <v>935348</v>
      </c>
      <c r="E6" s="11"/>
      <c r="F6" s="14"/>
      <c r="G6" s="14"/>
      <c r="H6" s="14"/>
      <c r="I6" s="14"/>
      <c r="J6" s="11">
        <v>961632</v>
      </c>
      <c r="K6" s="11"/>
      <c r="L6" s="14"/>
      <c r="P6" s="15">
        <v>1889317</v>
      </c>
      <c r="Q6" s="15"/>
      <c r="V6" s="15">
        <v>1919377</v>
      </c>
      <c r="W6" s="15"/>
    </row>
    <row r="7" spans="1:24" x14ac:dyDescent="0.25">
      <c r="A7" s="11" t="s">
        <v>90</v>
      </c>
      <c r="B7" s="11"/>
      <c r="C7" s="11"/>
      <c r="D7" s="11">
        <v>546737</v>
      </c>
      <c r="E7" s="11"/>
      <c r="F7" s="14"/>
      <c r="G7" s="14"/>
      <c r="H7" s="14"/>
      <c r="I7" s="14"/>
      <c r="J7" s="11">
        <v>564937</v>
      </c>
      <c r="K7" s="11"/>
      <c r="L7" s="14"/>
      <c r="P7" s="15">
        <v>1107589</v>
      </c>
      <c r="Q7" s="15"/>
      <c r="V7" s="15">
        <v>1124883</v>
      </c>
      <c r="W7" s="15"/>
    </row>
    <row r="8" spans="1:24" x14ac:dyDescent="0.25">
      <c r="A8" s="11" t="s">
        <v>91</v>
      </c>
      <c r="B8" s="11"/>
      <c r="C8" s="11"/>
      <c r="D8" s="11">
        <v>388611</v>
      </c>
      <c r="E8" s="11"/>
      <c r="G8" s="14"/>
      <c r="H8" s="14"/>
      <c r="I8" s="14"/>
      <c r="J8" s="11">
        <v>396695</v>
      </c>
      <c r="K8" s="11"/>
      <c r="P8" s="15">
        <v>781728</v>
      </c>
      <c r="Q8" s="15"/>
      <c r="V8" s="15">
        <v>794494</v>
      </c>
      <c r="W8" s="15"/>
    </row>
    <row r="9" spans="1:24" x14ac:dyDescent="0.25">
      <c r="A9" s="11" t="s">
        <v>92</v>
      </c>
      <c r="B9" s="11"/>
      <c r="C9" s="11"/>
      <c r="D9" s="11">
        <v>291235</v>
      </c>
      <c r="E9" s="11"/>
      <c r="G9" s="14"/>
      <c r="H9" s="14"/>
      <c r="I9" s="14"/>
      <c r="J9" s="11">
        <v>280630</v>
      </c>
      <c r="K9" s="11"/>
      <c r="P9" s="15">
        <v>581868</v>
      </c>
      <c r="Q9" s="15"/>
      <c r="V9" s="15">
        <v>560325</v>
      </c>
      <c r="W9" s="15"/>
    </row>
    <row r="10" spans="1:24" x14ac:dyDescent="0.25">
      <c r="A10" s="11" t="s">
        <v>186</v>
      </c>
      <c r="B10" s="11"/>
      <c r="C10" s="11"/>
      <c r="D10" s="11">
        <v>6181</v>
      </c>
      <c r="E10" s="11"/>
      <c r="G10" s="14"/>
      <c r="H10" s="14"/>
      <c r="I10" s="14"/>
      <c r="J10" s="11">
        <v>1783</v>
      </c>
      <c r="K10" s="11"/>
      <c r="P10" s="15">
        <v>7097</v>
      </c>
      <c r="Q10" s="15"/>
      <c r="V10" s="15">
        <v>3877</v>
      </c>
      <c r="W10" s="15"/>
    </row>
    <row r="11" spans="1:24" x14ac:dyDescent="0.25">
      <c r="A11" s="11"/>
      <c r="B11" s="11"/>
      <c r="C11" s="11"/>
      <c r="D11" s="11"/>
      <c r="E11" s="11"/>
      <c r="G11" s="14"/>
      <c r="H11" s="14"/>
      <c r="I11" s="14"/>
      <c r="J11" s="11"/>
      <c r="K11" s="11"/>
      <c r="P11" s="15"/>
      <c r="Q11" s="15"/>
      <c r="V11" s="15"/>
      <c r="W11" s="15"/>
    </row>
    <row r="12" spans="1:24" x14ac:dyDescent="0.25">
      <c r="A12" s="11"/>
      <c r="B12" s="11"/>
      <c r="C12" s="11"/>
      <c r="D12" s="11"/>
      <c r="E12" s="11"/>
      <c r="G12" s="14"/>
      <c r="H12" s="14"/>
      <c r="I12" s="14"/>
      <c r="J12" s="11"/>
      <c r="K12" s="11"/>
      <c r="P12" s="15"/>
      <c r="Q12" s="15"/>
      <c r="V12" s="15"/>
      <c r="W12" s="15"/>
    </row>
    <row r="13" spans="1:24" x14ac:dyDescent="0.25">
      <c r="A13" s="11" t="s">
        <v>94</v>
      </c>
      <c r="B13" s="11"/>
      <c r="C13" s="11"/>
      <c r="D13" s="11">
        <v>91195</v>
      </c>
      <c r="E13" s="11"/>
      <c r="G13" s="14"/>
      <c r="H13" s="14"/>
      <c r="I13" s="14"/>
      <c r="J13" s="11">
        <v>114282</v>
      </c>
      <c r="K13" s="11"/>
      <c r="P13" s="15">
        <v>192763</v>
      </c>
      <c r="Q13" s="15"/>
      <c r="V13" s="15">
        <v>230292</v>
      </c>
      <c r="W13" s="15"/>
    </row>
    <row r="14" spans="1:24" x14ac:dyDescent="0.25">
      <c r="A14" s="11" t="s">
        <v>95</v>
      </c>
      <c r="B14" s="11"/>
      <c r="C14" s="11"/>
      <c r="D14" s="14"/>
      <c r="E14" s="14"/>
      <c r="G14" s="14"/>
      <c r="H14" s="14"/>
      <c r="I14" s="14"/>
      <c r="J14" s="14"/>
      <c r="K14" s="14"/>
    </row>
    <row r="15" spans="1:24" x14ac:dyDescent="0.25">
      <c r="A15" s="11" t="s">
        <v>96</v>
      </c>
      <c r="B15" s="11"/>
      <c r="C15" s="11"/>
      <c r="D15" s="11">
        <v>-6951</v>
      </c>
      <c r="E15" s="11"/>
      <c r="G15" s="14"/>
      <c r="H15" s="14"/>
      <c r="I15" s="14"/>
      <c r="J15" s="11">
        <v>-5956</v>
      </c>
      <c r="K15" s="11"/>
      <c r="P15" s="15">
        <v>-12271</v>
      </c>
      <c r="Q15" s="15"/>
      <c r="V15" s="15">
        <v>-12875</v>
      </c>
      <c r="W15" s="15"/>
    </row>
    <row r="16" spans="1:24" x14ac:dyDescent="0.25">
      <c r="A16" s="11" t="s">
        <v>97</v>
      </c>
      <c r="B16" s="11"/>
      <c r="C16" s="11"/>
      <c r="D16" s="11">
        <v>43</v>
      </c>
      <c r="E16" s="11"/>
      <c r="G16" s="14"/>
      <c r="H16" s="14"/>
      <c r="I16" s="14"/>
      <c r="J16" s="11">
        <v>151</v>
      </c>
      <c r="K16" s="11"/>
      <c r="P16" s="15">
        <v>168</v>
      </c>
      <c r="Q16" s="15"/>
      <c r="V16" s="15">
        <v>251</v>
      </c>
      <c r="W16" s="15"/>
    </row>
    <row r="17" spans="1:24" x14ac:dyDescent="0.25">
      <c r="A17" s="11" t="s">
        <v>176</v>
      </c>
      <c r="B17" s="11"/>
      <c r="C17" s="11"/>
      <c r="D17" s="11">
        <v>-4332</v>
      </c>
      <c r="E17" s="11"/>
      <c r="G17" s="14"/>
      <c r="H17" s="14"/>
      <c r="I17" s="14"/>
      <c r="J17" s="11">
        <v>-2299</v>
      </c>
      <c r="K17" s="11"/>
      <c r="P17" s="15">
        <v>-9387</v>
      </c>
      <c r="Q17" s="15"/>
      <c r="V17" s="15">
        <v>-3639</v>
      </c>
      <c r="W17" s="15"/>
    </row>
    <row r="18" spans="1:24" x14ac:dyDescent="0.25">
      <c r="A18" s="11" t="s">
        <v>98</v>
      </c>
      <c r="B18" s="11"/>
      <c r="C18" s="11"/>
      <c r="D18" s="11">
        <v>-11240</v>
      </c>
      <c r="E18" s="11"/>
      <c r="G18" s="14"/>
      <c r="H18" s="14"/>
      <c r="I18" s="14"/>
      <c r="J18" s="11">
        <v>-8104</v>
      </c>
      <c r="K18" s="11"/>
      <c r="P18" s="15">
        <v>-21490</v>
      </c>
      <c r="Q18" s="15"/>
      <c r="V18" s="15">
        <v>-16263</v>
      </c>
      <c r="W18" s="15"/>
    </row>
    <row r="19" spans="1:24" x14ac:dyDescent="0.25">
      <c r="A19" s="11" t="s">
        <v>99</v>
      </c>
      <c r="B19" s="11"/>
      <c r="C19" s="11"/>
      <c r="D19" s="11">
        <v>79955</v>
      </c>
      <c r="E19" s="11"/>
      <c r="G19" s="14"/>
      <c r="H19" s="14"/>
      <c r="I19" s="14"/>
      <c r="J19" s="11">
        <v>106178</v>
      </c>
      <c r="K19" s="11"/>
      <c r="P19" s="15">
        <v>171273</v>
      </c>
      <c r="Q19" s="15"/>
      <c r="V19" s="15">
        <v>214029</v>
      </c>
      <c r="W19" s="15"/>
    </row>
    <row r="20" spans="1:24" x14ac:dyDescent="0.25">
      <c r="A20" s="11" t="s">
        <v>100</v>
      </c>
      <c r="B20" s="11"/>
      <c r="C20" s="11"/>
      <c r="D20" s="11">
        <v>18390</v>
      </c>
      <c r="E20" s="11"/>
      <c r="G20" s="14"/>
      <c r="H20" s="14"/>
      <c r="I20" s="14"/>
      <c r="J20" s="11">
        <v>26863</v>
      </c>
      <c r="K20" s="11"/>
      <c r="P20" s="15">
        <v>40580</v>
      </c>
      <c r="Q20" s="15"/>
      <c r="V20" s="15">
        <v>53502</v>
      </c>
      <c r="W20" s="15"/>
    </row>
    <row r="21" spans="1:24" x14ac:dyDescent="0.25">
      <c r="A21" s="11" t="s">
        <v>101</v>
      </c>
      <c r="B21" s="11"/>
      <c r="C21" s="11"/>
      <c r="D21" s="11">
        <v>61565</v>
      </c>
      <c r="E21" s="11"/>
      <c r="F21" s="14"/>
      <c r="G21" s="14"/>
      <c r="H21" s="14"/>
      <c r="I21" s="14"/>
      <c r="J21" s="11">
        <v>79315</v>
      </c>
      <c r="K21" s="11"/>
      <c r="L21" s="14"/>
      <c r="P21" s="15">
        <v>130693</v>
      </c>
      <c r="Q21" s="15"/>
      <c r="V21" s="15">
        <v>160527</v>
      </c>
      <c r="W21" s="15"/>
    </row>
    <row r="22" spans="1:24" x14ac:dyDescent="0.25">
      <c r="A22" s="11" t="s">
        <v>187</v>
      </c>
      <c r="B22" s="11"/>
      <c r="C22" s="11"/>
      <c r="D22" s="11">
        <v>-282</v>
      </c>
      <c r="E22" s="11"/>
      <c r="F22" s="14"/>
      <c r="G22" s="14"/>
      <c r="H22" s="14"/>
      <c r="I22" s="14"/>
      <c r="J22" s="11">
        <v>175</v>
      </c>
      <c r="K22" s="11"/>
      <c r="L22" s="14"/>
      <c r="P22" s="15">
        <v>-504</v>
      </c>
      <c r="Q22" s="15"/>
      <c r="V22" s="15">
        <v>73</v>
      </c>
      <c r="W22" s="15"/>
    </row>
    <row r="23" spans="1:24" x14ac:dyDescent="0.25">
      <c r="A23" s="11" t="s">
        <v>102</v>
      </c>
      <c r="B23" s="11"/>
      <c r="C23" s="11"/>
      <c r="D23" s="11">
        <v>61847</v>
      </c>
      <c r="E23" s="11"/>
      <c r="G23" s="14"/>
      <c r="H23" s="14"/>
      <c r="I23" s="14"/>
      <c r="J23" s="11">
        <v>79140</v>
      </c>
      <c r="K23" s="11"/>
      <c r="P23" s="15">
        <v>131197</v>
      </c>
      <c r="Q23" s="15"/>
      <c r="V23" s="15">
        <v>160454</v>
      </c>
      <c r="W23" s="15"/>
    </row>
    <row r="24" spans="1:24" x14ac:dyDescent="0.25">
      <c r="A24" s="11" t="s">
        <v>103</v>
      </c>
      <c r="B24" s="11"/>
      <c r="C24" s="11"/>
      <c r="D24" s="14"/>
      <c r="E24" s="14"/>
      <c r="G24" s="14"/>
      <c r="H24" s="14"/>
      <c r="I24" s="14"/>
      <c r="J24" s="14"/>
      <c r="K24" s="14"/>
    </row>
    <row r="25" spans="1:24" x14ac:dyDescent="0.25">
      <c r="A25" s="11" t="s">
        <v>104</v>
      </c>
      <c r="B25" s="11"/>
      <c r="C25" s="11"/>
      <c r="D25" s="14"/>
      <c r="E25" s="14"/>
      <c r="G25" s="14"/>
      <c r="H25" s="14"/>
      <c r="I25" s="14"/>
      <c r="J25" s="14"/>
      <c r="K25" s="14"/>
    </row>
    <row r="26" spans="1:24" x14ac:dyDescent="0.25">
      <c r="A26" s="11" t="s">
        <v>105</v>
      </c>
      <c r="B26" s="11"/>
      <c r="C26" s="11"/>
      <c r="D26" s="11">
        <v>1.1000000000000001</v>
      </c>
      <c r="E26" s="11"/>
      <c r="G26" s="14"/>
      <c r="H26" s="14"/>
      <c r="I26" s="14"/>
      <c r="J26" s="11">
        <v>1.42</v>
      </c>
      <c r="K26" s="11"/>
      <c r="P26" s="15">
        <v>2.33</v>
      </c>
      <c r="Q26" s="15"/>
      <c r="V26" s="15">
        <v>2.87</v>
      </c>
      <c r="W26" s="15"/>
    </row>
    <row r="27" spans="1:24" x14ac:dyDescent="0.25">
      <c r="A27" s="11" t="s">
        <v>106</v>
      </c>
      <c r="B27" s="11"/>
      <c r="C27" s="11"/>
      <c r="D27" s="11">
        <v>1.1000000000000001</v>
      </c>
      <c r="E27" s="11"/>
      <c r="G27" s="14"/>
      <c r="H27" s="14"/>
      <c r="I27" s="14"/>
      <c r="J27" s="11">
        <v>1.41</v>
      </c>
      <c r="K27" s="11"/>
      <c r="P27" s="15">
        <v>2.3199999999999998</v>
      </c>
      <c r="Q27" s="15"/>
      <c r="V27" s="15">
        <v>2.86</v>
      </c>
      <c r="W27" s="15"/>
    </row>
    <row r="28" spans="1:24" x14ac:dyDescent="0.25">
      <c r="A28" s="11" t="s">
        <v>107</v>
      </c>
      <c r="B28" s="11"/>
      <c r="C28" s="11"/>
      <c r="D28" s="14"/>
      <c r="E28" s="14"/>
      <c r="G28" s="14"/>
      <c r="H28" s="14"/>
      <c r="I28" s="14"/>
      <c r="J28" s="14"/>
      <c r="K28" s="14"/>
    </row>
    <row r="29" spans="1:24" x14ac:dyDescent="0.25">
      <c r="A29" s="11" t="s">
        <v>212</v>
      </c>
      <c r="B29" s="11"/>
      <c r="C29" s="11"/>
      <c r="D29" s="11">
        <v>56325</v>
      </c>
      <c r="E29" s="11"/>
      <c r="F29" s="15"/>
      <c r="G29" s="14"/>
      <c r="H29" s="14"/>
      <c r="I29" s="14"/>
      <c r="J29" s="11">
        <v>55880</v>
      </c>
      <c r="K29" s="11"/>
      <c r="L29" s="15"/>
      <c r="P29" s="15">
        <v>56377</v>
      </c>
      <c r="Q29" s="15"/>
      <c r="R29" s="15"/>
      <c r="V29" s="15">
        <v>55885</v>
      </c>
      <c r="W29" s="15"/>
      <c r="X29" s="15"/>
    </row>
    <row r="30" spans="1:24" x14ac:dyDescent="0.25">
      <c r="A30" s="11" t="s">
        <v>213</v>
      </c>
      <c r="B30" s="11"/>
      <c r="C30" s="11"/>
      <c r="D30" s="11">
        <v>56467</v>
      </c>
      <c r="E30" s="11"/>
      <c r="F30" s="15"/>
      <c r="G30" s="14"/>
      <c r="H30" s="14"/>
      <c r="I30" s="14"/>
      <c r="J30" s="11">
        <v>56001</v>
      </c>
      <c r="K30" s="11"/>
      <c r="L30" s="15"/>
      <c r="P30" s="15">
        <v>56595</v>
      </c>
      <c r="Q30" s="15"/>
      <c r="R30" s="15"/>
      <c r="V30" s="15">
        <v>56074</v>
      </c>
      <c r="W30" s="15"/>
      <c r="X30" s="15"/>
    </row>
    <row r="31" spans="1:24" x14ac:dyDescent="0.25">
      <c r="A31" s="14"/>
      <c r="B31" s="14"/>
      <c r="C31" s="14"/>
      <c r="D31" s="14"/>
      <c r="E31" s="14"/>
      <c r="G31" s="14"/>
      <c r="H31" s="14"/>
      <c r="I31" s="14"/>
      <c r="J31" s="14"/>
      <c r="K31" s="14"/>
    </row>
    <row r="32" spans="1:24" x14ac:dyDescent="0.25">
      <c r="A32" s="14"/>
      <c r="B32" s="14"/>
      <c r="C32" s="14"/>
      <c r="D32" s="14">
        <f>SUM(D6:D30)</f>
        <v>2571096.2000000002</v>
      </c>
      <c r="E32" s="14"/>
      <c r="F32" s="14"/>
      <c r="G32" s="14"/>
      <c r="H32" s="14"/>
      <c r="I32" s="14"/>
      <c r="J32" s="14">
        <f>SUM(J6:J30)</f>
        <v>2707305.83</v>
      </c>
      <c r="K32" s="14"/>
      <c r="L32" s="14"/>
      <c r="P32" s="14">
        <f>SUM(P6:P30)</f>
        <v>5103597.6500000004</v>
      </c>
      <c r="V32" s="14">
        <f>SUM(V6:V30)</f>
        <v>5301271.7300000004</v>
      </c>
    </row>
    <row r="33" spans="1:12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x14ac:dyDescent="0.25">
      <c r="A35" s="14"/>
      <c r="B35" s="14"/>
      <c r="C35" s="14"/>
      <c r="D35" s="14"/>
      <c r="E35" s="14"/>
      <c r="G35" s="14"/>
      <c r="H35" s="14"/>
      <c r="I35" s="14"/>
      <c r="J35" s="14"/>
      <c r="K35" s="14"/>
    </row>
    <row r="36" spans="1:12" x14ac:dyDescent="0.25">
      <c r="A36" s="14"/>
      <c r="B36" s="14"/>
      <c r="C36" s="14"/>
      <c r="D36" s="14"/>
      <c r="E36" s="14"/>
      <c r="G36" s="14"/>
      <c r="H36" s="14"/>
      <c r="I36" s="14"/>
      <c r="J36" s="14"/>
      <c r="K36" s="14"/>
    </row>
    <row r="37" spans="1:12" x14ac:dyDescent="0.25">
      <c r="A37" s="14"/>
      <c r="B37" s="14"/>
      <c r="C37" s="14"/>
      <c r="D37" s="14"/>
      <c r="E37" s="14"/>
      <c r="G37" s="14"/>
      <c r="H37" s="14"/>
      <c r="I37" s="14"/>
      <c r="J37" s="14"/>
      <c r="K37" s="14"/>
    </row>
    <row r="38" spans="1:12" x14ac:dyDescent="0.25">
      <c r="A38" s="14"/>
      <c r="B38" s="14"/>
      <c r="C38" s="14"/>
      <c r="D38" s="14"/>
      <c r="E38" s="14"/>
      <c r="G38" s="14"/>
      <c r="H38" s="14"/>
      <c r="I38" s="14"/>
      <c r="J38" s="14"/>
      <c r="K38" s="14"/>
    </row>
    <row r="39" spans="1:12" x14ac:dyDescent="0.25">
      <c r="A39" s="14"/>
      <c r="B39" s="14"/>
      <c r="C39" s="14"/>
      <c r="D39" s="14"/>
      <c r="E39" s="14"/>
      <c r="G39" s="14"/>
      <c r="H39" s="14"/>
      <c r="I39" s="14"/>
      <c r="J39" s="14"/>
      <c r="K39" s="14"/>
    </row>
    <row r="40" spans="1:12" x14ac:dyDescent="0.25">
      <c r="A40" s="14"/>
      <c r="B40" s="14"/>
      <c r="C40" s="14"/>
      <c r="D40" s="14"/>
      <c r="E40" s="14"/>
      <c r="G40" s="14"/>
      <c r="H40" s="14"/>
      <c r="I40" s="14"/>
      <c r="J40" s="14"/>
      <c r="K40" s="14"/>
    </row>
    <row r="41" spans="1:12" x14ac:dyDescent="0.25">
      <c r="A41" s="14"/>
      <c r="B41" s="14"/>
      <c r="C41" s="14"/>
      <c r="D41" s="14"/>
      <c r="E41" s="14"/>
      <c r="G41" s="14"/>
      <c r="H41" s="14"/>
      <c r="I41" s="14"/>
      <c r="J41" s="14"/>
      <c r="K41" s="14"/>
    </row>
    <row r="42" spans="1:12" x14ac:dyDescent="0.25">
      <c r="A42" s="14"/>
      <c r="B42" s="14"/>
      <c r="C42" s="14"/>
      <c r="D42" s="14"/>
      <c r="E42" s="14"/>
      <c r="G42" s="14"/>
      <c r="H42" s="14"/>
      <c r="I42" s="14"/>
      <c r="J42" s="14"/>
      <c r="K42" s="14"/>
    </row>
    <row r="43" spans="1:12" x14ac:dyDescent="0.25">
      <c r="A43" s="14"/>
      <c r="B43" s="14"/>
      <c r="C43" s="14"/>
      <c r="D43" s="14"/>
      <c r="E43" s="14"/>
      <c r="G43" s="14"/>
      <c r="H43" s="14"/>
      <c r="I43" s="14"/>
      <c r="J43" s="14"/>
      <c r="K43" s="14"/>
    </row>
    <row r="44" spans="1:12" x14ac:dyDescent="0.25">
      <c r="A44" s="14"/>
      <c r="B44" s="14"/>
      <c r="C44" s="14"/>
      <c r="D44" s="14"/>
      <c r="E44" s="14"/>
      <c r="G44" s="14"/>
      <c r="H44" s="14"/>
      <c r="I44" s="14"/>
      <c r="J44" s="14"/>
      <c r="K44" s="14"/>
    </row>
    <row r="45" spans="1:12" x14ac:dyDescent="0.25">
      <c r="A45" s="14"/>
      <c r="B45" s="14"/>
      <c r="C45" s="14"/>
      <c r="D45" s="14"/>
      <c r="E45" s="14"/>
      <c r="G45" s="14"/>
      <c r="H45" s="14"/>
      <c r="I45" s="14"/>
      <c r="J45" s="14"/>
      <c r="K45" s="1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452F-D8C9-47B1-8546-F64BBAE7DBE2}">
  <sheetPr>
    <tabColor theme="4" tint="0.59999389629810485"/>
  </sheetPr>
  <dimension ref="A2:L45"/>
  <sheetViews>
    <sheetView workbookViewId="0"/>
  </sheetViews>
  <sheetFormatPr defaultRowHeight="15" x14ac:dyDescent="0.25"/>
  <cols>
    <col min="1" max="3" width="9.140625" style="12"/>
    <col min="4" max="4" width="21.85546875" style="12" bestFit="1" customWidth="1"/>
    <col min="5" max="9" width="9.140625" style="12"/>
    <col min="10" max="10" width="13.28515625" style="12" bestFit="1" customWidth="1"/>
    <col min="11" max="16384" width="9.140625" style="12"/>
  </cols>
  <sheetData>
    <row r="2" spans="1:12" x14ac:dyDescent="0.25">
      <c r="A2" s="11" t="s">
        <v>85</v>
      </c>
      <c r="B2" s="11"/>
      <c r="C2" s="11"/>
      <c r="D2" s="11"/>
      <c r="E2" s="11"/>
      <c r="F2" s="11"/>
    </row>
    <row r="4" spans="1:12" x14ac:dyDescent="0.25">
      <c r="A4" s="14"/>
      <c r="B4" s="14"/>
      <c r="C4" s="14"/>
      <c r="D4" s="11" t="s">
        <v>86</v>
      </c>
      <c r="E4" s="11"/>
      <c r="F4" s="11"/>
      <c r="G4" s="11"/>
      <c r="H4" s="11"/>
      <c r="I4" s="11"/>
      <c r="J4" s="11"/>
      <c r="K4" s="11"/>
      <c r="L4" s="11"/>
    </row>
    <row r="5" spans="1:12" ht="39.950000000000003" customHeight="1" x14ac:dyDescent="0.25">
      <c r="A5" s="14"/>
      <c r="B5" s="14"/>
      <c r="C5" s="14"/>
      <c r="D5" s="13" t="s">
        <v>146</v>
      </c>
      <c r="E5" s="13"/>
      <c r="F5" s="13"/>
      <c r="G5" s="14"/>
      <c r="H5" s="14"/>
      <c r="I5" s="14"/>
      <c r="J5" s="13" t="s">
        <v>147</v>
      </c>
      <c r="K5" s="13"/>
      <c r="L5" s="13"/>
    </row>
    <row r="6" spans="1:12" x14ac:dyDescent="0.25">
      <c r="A6" s="11" t="s">
        <v>89</v>
      </c>
      <c r="B6" s="11"/>
      <c r="C6" s="11"/>
      <c r="D6" s="11">
        <v>953969</v>
      </c>
      <c r="E6" s="11"/>
      <c r="F6" s="14"/>
      <c r="G6" s="14"/>
      <c r="H6" s="14"/>
      <c r="I6" s="14"/>
      <c r="J6" s="11">
        <v>957745</v>
      </c>
      <c r="K6" s="11"/>
      <c r="L6" s="14"/>
    </row>
    <row r="7" spans="1:12" x14ac:dyDescent="0.25">
      <c r="A7" s="11" t="s">
        <v>90</v>
      </c>
      <c r="B7" s="11"/>
      <c r="C7" s="11"/>
      <c r="D7" s="11">
        <v>560852</v>
      </c>
      <c r="E7" s="11"/>
      <c r="F7" s="14"/>
      <c r="G7" s="14"/>
      <c r="H7" s="14"/>
      <c r="I7" s="14"/>
      <c r="J7" s="11">
        <v>559946</v>
      </c>
      <c r="K7" s="11"/>
      <c r="L7" s="14"/>
    </row>
    <row r="8" spans="1:12" x14ac:dyDescent="0.25">
      <c r="A8" s="11" t="s">
        <v>91</v>
      </c>
      <c r="B8" s="11"/>
      <c r="C8" s="11"/>
      <c r="D8" s="11">
        <v>393117</v>
      </c>
      <c r="E8" s="11"/>
      <c r="G8" s="14"/>
      <c r="H8" s="14"/>
      <c r="I8" s="14"/>
      <c r="J8" s="11">
        <v>397799</v>
      </c>
      <c r="K8" s="11"/>
    </row>
    <row r="9" spans="1:12" x14ac:dyDescent="0.25">
      <c r="A9" s="11" t="s">
        <v>92</v>
      </c>
      <c r="B9" s="11"/>
      <c r="C9" s="11"/>
      <c r="D9" s="11">
        <v>290633</v>
      </c>
      <c r="E9" s="11"/>
      <c r="G9" s="14"/>
      <c r="H9" s="14"/>
      <c r="I9" s="14"/>
      <c r="J9" s="11">
        <v>279695</v>
      </c>
      <c r="K9" s="11"/>
    </row>
    <row r="10" spans="1:12" x14ac:dyDescent="0.25">
      <c r="A10" s="11" t="s">
        <v>186</v>
      </c>
      <c r="B10" s="11"/>
      <c r="C10" s="11"/>
      <c r="D10" s="11">
        <v>916</v>
      </c>
      <c r="E10" s="11"/>
      <c r="G10" s="14"/>
      <c r="H10" s="14"/>
      <c r="I10" s="14"/>
      <c r="J10" s="11">
        <v>2094</v>
      </c>
      <c r="K10" s="11"/>
    </row>
    <row r="11" spans="1:12" x14ac:dyDescent="0.25">
      <c r="A11" s="11"/>
      <c r="B11" s="11"/>
      <c r="C11" s="11"/>
      <c r="D11" s="11"/>
      <c r="E11" s="11"/>
      <c r="G11" s="14"/>
      <c r="H11" s="14"/>
      <c r="I11" s="14"/>
      <c r="J11" s="11"/>
      <c r="K11" s="11"/>
    </row>
    <row r="12" spans="1:12" x14ac:dyDescent="0.25">
      <c r="A12" s="11"/>
      <c r="B12" s="11"/>
      <c r="C12" s="11"/>
      <c r="D12" s="11"/>
      <c r="E12" s="11"/>
      <c r="G12" s="14"/>
      <c r="H12" s="14"/>
      <c r="I12" s="14"/>
      <c r="J12" s="11"/>
      <c r="K12" s="11"/>
    </row>
    <row r="13" spans="1:12" x14ac:dyDescent="0.25">
      <c r="A13" s="11" t="s">
        <v>94</v>
      </c>
      <c r="B13" s="11"/>
      <c r="C13" s="11"/>
      <c r="D13" s="11">
        <v>101568</v>
      </c>
      <c r="E13" s="11"/>
      <c r="G13" s="14"/>
      <c r="H13" s="14"/>
      <c r="I13" s="14"/>
      <c r="J13" s="11">
        <v>116010</v>
      </c>
      <c r="K13" s="11"/>
    </row>
    <row r="14" spans="1:12" x14ac:dyDescent="0.25">
      <c r="A14" s="11" t="s">
        <v>95</v>
      </c>
      <c r="B14" s="11"/>
      <c r="C14" s="11"/>
      <c r="D14" s="14"/>
      <c r="E14" s="14"/>
      <c r="G14" s="14"/>
      <c r="H14" s="14"/>
      <c r="I14" s="14"/>
      <c r="J14" s="14"/>
      <c r="K14" s="14"/>
    </row>
    <row r="15" spans="1:12" x14ac:dyDescent="0.25">
      <c r="A15" s="11" t="s">
        <v>96</v>
      </c>
      <c r="B15" s="11"/>
      <c r="C15" s="11"/>
      <c r="D15" s="11">
        <v>-5320</v>
      </c>
      <c r="E15" s="11"/>
      <c r="G15" s="14"/>
      <c r="H15" s="14"/>
      <c r="I15" s="14"/>
      <c r="J15" s="11">
        <v>-6919</v>
      </c>
      <c r="K15" s="11"/>
    </row>
    <row r="16" spans="1:12" x14ac:dyDescent="0.25">
      <c r="A16" s="11" t="s">
        <v>97</v>
      </c>
      <c r="B16" s="11"/>
      <c r="C16" s="11"/>
      <c r="D16" s="11">
        <v>125</v>
      </c>
      <c r="E16" s="11"/>
      <c r="G16" s="14"/>
      <c r="H16" s="14"/>
      <c r="I16" s="14"/>
      <c r="J16" s="11">
        <v>100</v>
      </c>
      <c r="K16" s="11"/>
    </row>
    <row r="17" spans="1:12" x14ac:dyDescent="0.25">
      <c r="A17" s="11" t="s">
        <v>176</v>
      </c>
      <c r="B17" s="11"/>
      <c r="C17" s="11"/>
      <c r="D17" s="11">
        <v>-5055</v>
      </c>
      <c r="E17" s="11"/>
      <c r="G17" s="14"/>
      <c r="H17" s="14"/>
      <c r="I17" s="14"/>
      <c r="J17" s="11">
        <v>-1340</v>
      </c>
      <c r="K17" s="11"/>
    </row>
    <row r="18" spans="1:12" x14ac:dyDescent="0.25">
      <c r="A18" s="11" t="s">
        <v>98</v>
      </c>
      <c r="B18" s="11"/>
      <c r="C18" s="11"/>
      <c r="D18" s="11">
        <v>-10250</v>
      </c>
      <c r="E18" s="11"/>
      <c r="G18" s="14"/>
      <c r="H18" s="14"/>
      <c r="I18" s="14"/>
      <c r="J18" s="11">
        <v>-8159</v>
      </c>
      <c r="K18" s="11"/>
    </row>
    <row r="19" spans="1:12" x14ac:dyDescent="0.25">
      <c r="A19" s="11" t="s">
        <v>99</v>
      </c>
      <c r="B19" s="11"/>
      <c r="C19" s="11"/>
      <c r="D19" s="11">
        <v>91318</v>
      </c>
      <c r="E19" s="11"/>
      <c r="G19" s="14"/>
      <c r="H19" s="14"/>
      <c r="I19" s="14"/>
      <c r="J19" s="11">
        <v>107851</v>
      </c>
      <c r="K19" s="11"/>
    </row>
    <row r="20" spans="1:12" x14ac:dyDescent="0.25">
      <c r="A20" s="11" t="s">
        <v>100</v>
      </c>
      <c r="B20" s="11"/>
      <c r="C20" s="11"/>
      <c r="D20" s="11">
        <v>22190</v>
      </c>
      <c r="E20" s="11"/>
      <c r="G20" s="14"/>
      <c r="H20" s="14"/>
      <c r="I20" s="14"/>
      <c r="J20" s="11">
        <v>26639</v>
      </c>
      <c r="K20" s="11"/>
    </row>
    <row r="21" spans="1:12" x14ac:dyDescent="0.25">
      <c r="A21" s="11" t="s">
        <v>101</v>
      </c>
      <c r="B21" s="11"/>
      <c r="C21" s="11"/>
      <c r="D21" s="11">
        <v>69128</v>
      </c>
      <c r="E21" s="11"/>
      <c r="F21" s="14"/>
      <c r="G21" s="14"/>
      <c r="H21" s="14"/>
      <c r="I21" s="14"/>
      <c r="J21" s="11">
        <v>81212</v>
      </c>
      <c r="K21" s="11"/>
      <c r="L21" s="14"/>
    </row>
    <row r="22" spans="1:12" x14ac:dyDescent="0.25">
      <c r="A22" s="11" t="s">
        <v>187</v>
      </c>
      <c r="B22" s="11"/>
      <c r="C22" s="11"/>
      <c r="D22" s="11">
        <v>-222</v>
      </c>
      <c r="E22" s="11"/>
      <c r="F22" s="14"/>
      <c r="G22" s="14"/>
      <c r="H22" s="14"/>
      <c r="I22" s="14"/>
      <c r="J22" s="11">
        <v>-102</v>
      </c>
      <c r="K22" s="11"/>
      <c r="L22" s="14"/>
    </row>
    <row r="23" spans="1:12" x14ac:dyDescent="0.25">
      <c r="A23" s="11" t="s">
        <v>102</v>
      </c>
      <c r="B23" s="11"/>
      <c r="C23" s="11"/>
      <c r="D23" s="11">
        <v>69350</v>
      </c>
      <c r="E23" s="11"/>
      <c r="G23" s="14"/>
      <c r="H23" s="14"/>
      <c r="I23" s="14"/>
      <c r="J23" s="11">
        <v>81314</v>
      </c>
      <c r="K23" s="11"/>
    </row>
    <row r="24" spans="1:12" x14ac:dyDescent="0.25">
      <c r="A24" s="11" t="s">
        <v>103</v>
      </c>
      <c r="B24" s="11"/>
      <c r="C24" s="11"/>
      <c r="D24" s="14"/>
      <c r="E24" s="14"/>
      <c r="G24" s="14"/>
      <c r="H24" s="14"/>
      <c r="I24" s="14"/>
      <c r="J24" s="14"/>
      <c r="K24" s="14"/>
    </row>
    <row r="25" spans="1:12" x14ac:dyDescent="0.25">
      <c r="A25" s="11" t="s">
        <v>104</v>
      </c>
      <c r="B25" s="11"/>
      <c r="C25" s="11"/>
      <c r="D25" s="14"/>
      <c r="E25" s="14"/>
      <c r="G25" s="14"/>
      <c r="H25" s="14"/>
      <c r="I25" s="14"/>
      <c r="J25" s="14"/>
      <c r="K25" s="14"/>
    </row>
    <row r="26" spans="1:12" x14ac:dyDescent="0.25">
      <c r="A26" s="11" t="s">
        <v>105</v>
      </c>
      <c r="B26" s="11"/>
      <c r="C26" s="11"/>
      <c r="D26" s="11">
        <v>1.23</v>
      </c>
      <c r="E26" s="11"/>
      <c r="G26" s="14"/>
      <c r="H26" s="14"/>
      <c r="I26" s="14"/>
      <c r="J26" s="11">
        <v>1.45</v>
      </c>
      <c r="K26" s="11"/>
    </row>
    <row r="27" spans="1:12" x14ac:dyDescent="0.25">
      <c r="A27" s="11" t="s">
        <v>106</v>
      </c>
      <c r="B27" s="11"/>
      <c r="C27" s="11"/>
      <c r="D27" s="11">
        <v>1.22</v>
      </c>
      <c r="E27" s="11"/>
      <c r="G27" s="14"/>
      <c r="H27" s="14"/>
      <c r="I27" s="14"/>
      <c r="J27" s="11">
        <v>1.45</v>
      </c>
      <c r="K27" s="11"/>
    </row>
    <row r="28" spans="1:12" x14ac:dyDescent="0.25">
      <c r="A28" s="11" t="s">
        <v>107</v>
      </c>
      <c r="B28" s="11"/>
      <c r="C28" s="11"/>
      <c r="D28" s="14"/>
      <c r="E28" s="14"/>
      <c r="G28" s="14"/>
      <c r="H28" s="14"/>
      <c r="I28" s="14"/>
      <c r="J28" s="14"/>
      <c r="K28" s="14"/>
    </row>
    <row r="29" spans="1:12" x14ac:dyDescent="0.25">
      <c r="A29" s="11" t="s">
        <v>212</v>
      </c>
      <c r="B29" s="11"/>
      <c r="C29" s="11"/>
      <c r="D29" s="11">
        <v>56429</v>
      </c>
      <c r="E29" s="11"/>
      <c r="F29" s="15"/>
      <c r="G29" s="14"/>
      <c r="H29" s="14"/>
      <c r="I29" s="14"/>
      <c r="J29" s="11">
        <v>55891</v>
      </c>
      <c r="K29" s="11"/>
      <c r="L29" s="15"/>
    </row>
    <row r="30" spans="1:12" x14ac:dyDescent="0.25">
      <c r="A30" s="11" t="s">
        <v>213</v>
      </c>
      <c r="B30" s="11"/>
      <c r="C30" s="11"/>
      <c r="D30" s="11">
        <v>56723</v>
      </c>
      <c r="E30" s="11"/>
      <c r="F30" s="15"/>
      <c r="G30" s="14"/>
      <c r="H30" s="14"/>
      <c r="I30" s="14"/>
      <c r="J30" s="11">
        <v>56081</v>
      </c>
      <c r="K30" s="11"/>
      <c r="L30" s="15"/>
    </row>
    <row r="31" spans="1:12" x14ac:dyDescent="0.25">
      <c r="A31" s="14"/>
      <c r="B31" s="14"/>
      <c r="C31" s="14"/>
      <c r="D31" s="14"/>
      <c r="E31" s="14"/>
      <c r="G31" s="14"/>
      <c r="H31" s="14"/>
      <c r="I31" s="14"/>
      <c r="J31" s="14"/>
      <c r="K31" s="14"/>
    </row>
    <row r="32" spans="1:12" x14ac:dyDescent="0.25">
      <c r="A32" s="14"/>
      <c r="B32" s="14"/>
      <c r="C32" s="14"/>
      <c r="D32" s="14">
        <f>SUM(D6:D30)</f>
        <v>2645473.4500000002</v>
      </c>
      <c r="E32" s="14"/>
      <c r="F32" s="14"/>
      <c r="G32" s="14"/>
      <c r="H32" s="14"/>
      <c r="I32" s="14"/>
      <c r="J32" s="14">
        <f>SUM(J6:J30)</f>
        <v>2705859.9000000004</v>
      </c>
      <c r="K32" s="14"/>
      <c r="L32" s="14"/>
    </row>
    <row r="33" spans="1:12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x14ac:dyDescent="0.25">
      <c r="A35" s="14"/>
      <c r="B35" s="14"/>
      <c r="C35" s="14"/>
      <c r="D35" s="14"/>
      <c r="E35" s="14"/>
      <c r="G35" s="14"/>
      <c r="H35" s="14"/>
      <c r="I35" s="14"/>
      <c r="J35" s="14"/>
      <c r="K35" s="14"/>
    </row>
    <row r="36" spans="1:12" x14ac:dyDescent="0.25">
      <c r="A36" s="14"/>
      <c r="B36" s="14"/>
      <c r="C36" s="14"/>
      <c r="D36" s="14"/>
      <c r="E36" s="14"/>
      <c r="G36" s="14"/>
      <c r="H36" s="14"/>
      <c r="I36" s="14"/>
      <c r="J36" s="14"/>
      <c r="K36" s="14"/>
    </row>
    <row r="37" spans="1:12" x14ac:dyDescent="0.25">
      <c r="A37" s="14"/>
      <c r="B37" s="14"/>
      <c r="C37" s="14"/>
      <c r="D37" s="14"/>
      <c r="E37" s="14"/>
      <c r="G37" s="14"/>
      <c r="H37" s="14"/>
      <c r="I37" s="14"/>
      <c r="J37" s="14"/>
      <c r="K37" s="14"/>
    </row>
    <row r="38" spans="1:12" x14ac:dyDescent="0.25">
      <c r="A38" s="14"/>
      <c r="B38" s="14"/>
      <c r="C38" s="14"/>
      <c r="D38" s="14"/>
      <c r="E38" s="14"/>
      <c r="G38" s="14"/>
      <c r="H38" s="14"/>
      <c r="I38" s="14"/>
      <c r="J38" s="14"/>
      <c r="K38" s="14"/>
    </row>
    <row r="39" spans="1:12" x14ac:dyDescent="0.25">
      <c r="A39" s="14"/>
      <c r="B39" s="14"/>
      <c r="C39" s="14"/>
      <c r="D39" s="14"/>
      <c r="E39" s="14"/>
      <c r="G39" s="14"/>
      <c r="H39" s="14"/>
      <c r="I39" s="14"/>
      <c r="J39" s="14"/>
      <c r="K39" s="14"/>
    </row>
    <row r="40" spans="1:12" x14ac:dyDescent="0.25">
      <c r="A40" s="14"/>
      <c r="B40" s="14"/>
      <c r="C40" s="14"/>
      <c r="D40" s="14"/>
      <c r="E40" s="14"/>
      <c r="G40" s="14"/>
      <c r="H40" s="14"/>
      <c r="I40" s="14"/>
      <c r="J40" s="14"/>
      <c r="K40" s="14"/>
    </row>
    <row r="41" spans="1:12" x14ac:dyDescent="0.25">
      <c r="A41" s="14"/>
      <c r="B41" s="14"/>
      <c r="C41" s="14"/>
      <c r="D41" s="14"/>
      <c r="E41" s="14"/>
      <c r="G41" s="14"/>
      <c r="H41" s="14"/>
      <c r="I41" s="14"/>
      <c r="J41" s="14"/>
      <c r="K41" s="14"/>
    </row>
    <row r="42" spans="1:12" x14ac:dyDescent="0.25">
      <c r="A42" s="14"/>
      <c r="B42" s="14"/>
      <c r="C42" s="14"/>
      <c r="D42" s="14"/>
      <c r="E42" s="14"/>
      <c r="G42" s="14"/>
      <c r="H42" s="14"/>
      <c r="I42" s="14"/>
      <c r="J42" s="14"/>
      <c r="K42" s="14"/>
    </row>
    <row r="43" spans="1:12" x14ac:dyDescent="0.25">
      <c r="A43" s="14"/>
      <c r="B43" s="14"/>
      <c r="C43" s="14"/>
      <c r="D43" s="14"/>
      <c r="E43" s="14"/>
      <c r="G43" s="14"/>
      <c r="H43" s="14"/>
      <c r="I43" s="14"/>
      <c r="J43" s="14"/>
      <c r="K43" s="14"/>
    </row>
    <row r="44" spans="1:12" x14ac:dyDescent="0.25">
      <c r="A44" s="14"/>
      <c r="B44" s="14"/>
      <c r="C44" s="14"/>
      <c r="D44" s="14"/>
      <c r="E44" s="14"/>
      <c r="G44" s="14"/>
      <c r="H44" s="14"/>
      <c r="I44" s="14"/>
      <c r="J44" s="14"/>
      <c r="K44" s="14"/>
    </row>
    <row r="45" spans="1:12" x14ac:dyDescent="0.25">
      <c r="A45" s="14"/>
      <c r="B45" s="14"/>
      <c r="C45" s="14"/>
      <c r="D45" s="14"/>
      <c r="E45" s="14"/>
      <c r="G45" s="14"/>
      <c r="H45" s="14"/>
      <c r="I45" s="14"/>
      <c r="J45" s="14"/>
      <c r="K45" s="1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7CEE-605B-4F4B-B300-1376E63F60F4}">
  <sheetPr>
    <tabColor theme="4" tint="0.59999389629810485"/>
  </sheetPr>
  <dimension ref="A2:R43"/>
  <sheetViews>
    <sheetView workbookViewId="0"/>
  </sheetViews>
  <sheetFormatPr defaultRowHeight="15" x14ac:dyDescent="0.25"/>
  <cols>
    <col min="1" max="3" width="9.140625" style="12"/>
    <col min="4" max="4" width="25" style="12" bestFit="1" customWidth="1"/>
    <col min="5" max="9" width="9.140625" style="12"/>
    <col min="10" max="10" width="14.28515625" style="12" bestFit="1" customWidth="1"/>
    <col min="11" max="15" width="9.140625" style="12"/>
    <col min="16" max="16" width="13.28515625" style="12" bestFit="1" customWidth="1"/>
    <col min="17" max="16384" width="9.140625" style="12"/>
  </cols>
  <sheetData>
    <row r="2" spans="1:18" x14ac:dyDescent="0.25">
      <c r="A2" s="11" t="s">
        <v>151</v>
      </c>
      <c r="B2" s="11"/>
      <c r="C2" s="11"/>
      <c r="D2" s="11"/>
      <c r="E2" s="11"/>
      <c r="F2" s="11"/>
    </row>
    <row r="4" spans="1:18" x14ac:dyDescent="0.25">
      <c r="A4" s="14"/>
      <c r="B4" s="14"/>
      <c r="C4" s="14"/>
      <c r="D4" s="11" t="s">
        <v>152</v>
      </c>
      <c r="E4" s="11"/>
      <c r="F4" s="11"/>
      <c r="G4" s="11"/>
      <c r="H4" s="11"/>
      <c r="I4" s="11"/>
      <c r="J4" s="11"/>
      <c r="K4" s="11"/>
      <c r="L4" s="11"/>
      <c r="M4" s="15"/>
      <c r="N4" s="15"/>
      <c r="O4" s="15"/>
      <c r="P4" s="15"/>
      <c r="Q4" s="15"/>
      <c r="R4" s="15"/>
    </row>
    <row r="5" spans="1:18" ht="39.950000000000003" customHeight="1" x14ac:dyDescent="0.25">
      <c r="A5" s="14"/>
      <c r="B5" s="14"/>
      <c r="C5" s="14"/>
      <c r="D5" s="13" t="s">
        <v>50</v>
      </c>
      <c r="E5" s="13"/>
      <c r="F5" s="13"/>
      <c r="G5" s="14"/>
      <c r="H5" s="14"/>
      <c r="I5" s="14"/>
      <c r="J5" s="13" t="s">
        <v>150</v>
      </c>
      <c r="K5" s="13"/>
      <c r="L5" s="13"/>
      <c r="P5" s="13" t="s">
        <v>153</v>
      </c>
      <c r="Q5" s="13"/>
      <c r="R5" s="13"/>
    </row>
    <row r="6" spans="1:18" x14ac:dyDescent="0.25">
      <c r="A6" s="14"/>
      <c r="B6" s="14"/>
      <c r="C6" s="14"/>
      <c r="D6" s="11" t="s">
        <v>154</v>
      </c>
      <c r="E6" s="11"/>
      <c r="F6" s="11"/>
      <c r="G6" s="14"/>
      <c r="H6" s="14"/>
      <c r="I6" s="14"/>
      <c r="J6" s="11" t="s">
        <v>155</v>
      </c>
      <c r="K6" s="11"/>
      <c r="L6" s="11"/>
      <c r="P6" s="15" t="s">
        <v>154</v>
      </c>
      <c r="Q6" s="15"/>
      <c r="R6" s="15"/>
    </row>
    <row r="7" spans="1:18" x14ac:dyDescent="0.25">
      <c r="A7" s="11" t="s">
        <v>89</v>
      </c>
      <c r="B7" s="11"/>
      <c r="C7" s="11"/>
      <c r="D7" s="11">
        <v>4009282</v>
      </c>
      <c r="E7" s="11"/>
      <c r="F7" s="11"/>
      <c r="G7" s="14"/>
      <c r="H7" s="14"/>
      <c r="I7" s="14"/>
      <c r="J7" s="11">
        <v>3691893</v>
      </c>
      <c r="K7" s="11"/>
      <c r="L7" s="11"/>
      <c r="P7" s="15">
        <v>3243224</v>
      </c>
      <c r="Q7" s="15"/>
      <c r="R7" s="15"/>
    </row>
    <row r="8" spans="1:18" x14ac:dyDescent="0.25">
      <c r="A8" s="11" t="s">
        <v>90</v>
      </c>
      <c r="B8" s="11"/>
      <c r="C8" s="11"/>
      <c r="D8" s="11">
        <v>2366317</v>
      </c>
      <c r="E8" s="11"/>
      <c r="F8" s="15"/>
      <c r="G8" s="14"/>
      <c r="H8" s="14"/>
      <c r="I8" s="14"/>
      <c r="J8" s="11">
        <v>2133645</v>
      </c>
      <c r="K8" s="11"/>
      <c r="L8" s="15"/>
      <c r="P8" s="15">
        <v>1909709</v>
      </c>
      <c r="Q8" s="15"/>
      <c r="R8" s="15"/>
    </row>
    <row r="9" spans="1:18" x14ac:dyDescent="0.25">
      <c r="A9" s="11" t="s">
        <v>91</v>
      </c>
      <c r="B9" s="11"/>
      <c r="C9" s="11"/>
      <c r="D9" s="11">
        <v>1642965</v>
      </c>
      <c r="E9" s="11"/>
      <c r="F9" s="15"/>
      <c r="G9" s="14"/>
      <c r="H9" s="14"/>
      <c r="I9" s="14"/>
      <c r="J9" s="11">
        <v>1558248</v>
      </c>
      <c r="K9" s="11"/>
      <c r="L9" s="15"/>
      <c r="P9" s="15">
        <v>1333515</v>
      </c>
      <c r="Q9" s="15"/>
      <c r="R9" s="15"/>
    </row>
    <row r="10" spans="1:18" x14ac:dyDescent="0.25">
      <c r="A10" s="11" t="s">
        <v>92</v>
      </c>
      <c r="B10" s="11"/>
      <c r="C10" s="11"/>
      <c r="D10" s="11">
        <v>1151295</v>
      </c>
      <c r="E10" s="11"/>
      <c r="F10" s="15"/>
      <c r="G10" s="14"/>
      <c r="H10" s="14"/>
      <c r="I10" s="14"/>
      <c r="J10" s="11">
        <v>1083862</v>
      </c>
      <c r="K10" s="11"/>
      <c r="L10" s="15"/>
      <c r="P10" s="15">
        <v>994468</v>
      </c>
      <c r="Q10" s="15"/>
      <c r="R10" s="15"/>
    </row>
    <row r="11" spans="1:18" x14ac:dyDescent="0.25">
      <c r="A11" s="11" t="s">
        <v>156</v>
      </c>
      <c r="B11" s="11"/>
      <c r="C11" s="11"/>
      <c r="D11" s="11" t="s">
        <v>78</v>
      </c>
      <c r="E11" s="11"/>
      <c r="G11" s="14"/>
      <c r="H11" s="14"/>
      <c r="I11" s="14"/>
      <c r="J11" s="11" t="s">
        <v>78</v>
      </c>
      <c r="K11" s="11"/>
      <c r="P11" s="15">
        <v>5886</v>
      </c>
      <c r="Q11" s="15"/>
      <c r="R11" s="15"/>
    </row>
    <row r="12" spans="1:18" x14ac:dyDescent="0.25">
      <c r="A12" s="11" t="s">
        <v>186</v>
      </c>
      <c r="B12" s="11"/>
      <c r="C12" s="11"/>
      <c r="D12" s="11">
        <v>7937</v>
      </c>
      <c r="E12" s="11"/>
      <c r="F12" s="15"/>
      <c r="G12" s="14"/>
      <c r="H12" s="14"/>
      <c r="I12" s="14"/>
      <c r="J12" s="11">
        <v>15805</v>
      </c>
      <c r="K12" s="11"/>
      <c r="L12" s="15"/>
      <c r="P12" s="15">
        <v>31392</v>
      </c>
      <c r="Q12" s="15"/>
      <c r="R12" s="15"/>
    </row>
    <row r="13" spans="1:18" x14ac:dyDescent="0.25">
      <c r="A13" s="11" t="s">
        <v>157</v>
      </c>
      <c r="B13" s="11"/>
      <c r="C13" s="11"/>
      <c r="D13" s="11" t="s">
        <v>78</v>
      </c>
      <c r="E13" s="11"/>
      <c r="G13" s="14"/>
      <c r="H13" s="14"/>
      <c r="I13" s="14"/>
      <c r="J13" s="11">
        <v>-10132</v>
      </c>
      <c r="K13" s="11"/>
      <c r="L13" s="15"/>
      <c r="P13" s="15" t="s">
        <v>78</v>
      </c>
      <c r="Q13" s="15"/>
    </row>
    <row r="14" spans="1:18" x14ac:dyDescent="0.25">
      <c r="A14" s="11" t="s">
        <v>94</v>
      </c>
      <c r="B14" s="11"/>
      <c r="C14" s="11"/>
      <c r="D14" s="11">
        <v>483733</v>
      </c>
      <c r="E14" s="11"/>
      <c r="F14" s="15"/>
      <c r="G14" s="14"/>
      <c r="H14" s="14"/>
      <c r="I14" s="14"/>
      <c r="J14" s="11">
        <v>468713</v>
      </c>
      <c r="K14" s="11"/>
      <c r="L14" s="15"/>
      <c r="P14" s="15">
        <v>301769</v>
      </c>
      <c r="Q14" s="15"/>
      <c r="R14" s="15"/>
    </row>
    <row r="15" spans="1:18" x14ac:dyDescent="0.25">
      <c r="A15" s="11" t="s">
        <v>95</v>
      </c>
      <c r="B15" s="11"/>
      <c r="C15" s="11"/>
      <c r="D15" s="14"/>
      <c r="E15" s="14"/>
      <c r="G15" s="14"/>
      <c r="H15" s="14"/>
      <c r="I15" s="14"/>
      <c r="J15" s="14"/>
      <c r="K15" s="14"/>
    </row>
    <row r="16" spans="1:18" x14ac:dyDescent="0.25">
      <c r="A16" s="11" t="s">
        <v>96</v>
      </c>
      <c r="B16" s="11"/>
      <c r="C16" s="11"/>
      <c r="D16" s="11">
        <v>-22543</v>
      </c>
      <c r="E16" s="11"/>
      <c r="G16" s="14"/>
      <c r="H16" s="14"/>
      <c r="I16" s="14"/>
      <c r="J16" s="11">
        <v>-17599</v>
      </c>
      <c r="K16" s="11"/>
      <c r="P16" s="15">
        <v>-14510</v>
      </c>
      <c r="Q16" s="15"/>
    </row>
    <row r="17" spans="1:18" x14ac:dyDescent="0.25">
      <c r="A17" s="11" t="s">
        <v>97</v>
      </c>
      <c r="B17" s="11"/>
      <c r="C17" s="11"/>
      <c r="D17" s="11">
        <v>1034</v>
      </c>
      <c r="E17" s="11"/>
      <c r="F17" s="15"/>
      <c r="G17" s="14"/>
      <c r="H17" s="14"/>
      <c r="I17" s="14"/>
      <c r="J17" s="11">
        <v>150</v>
      </c>
      <c r="K17" s="11"/>
      <c r="L17" s="15"/>
      <c r="P17" s="15">
        <v>66</v>
      </c>
      <c r="Q17" s="15"/>
      <c r="R17" s="15"/>
    </row>
    <row r="18" spans="1:18" x14ac:dyDescent="0.25">
      <c r="A18" s="11" t="s">
        <v>176</v>
      </c>
      <c r="B18" s="11"/>
      <c r="C18" s="11"/>
      <c r="D18" s="11">
        <v>-6068</v>
      </c>
      <c r="E18" s="11"/>
      <c r="G18" s="14"/>
      <c r="H18" s="14"/>
      <c r="I18" s="14"/>
      <c r="J18" s="11">
        <v>-132</v>
      </c>
      <c r="K18" s="11"/>
      <c r="L18" s="15"/>
      <c r="P18" s="15">
        <v>1054</v>
      </c>
      <c r="Q18" s="15"/>
    </row>
    <row r="19" spans="1:18" x14ac:dyDescent="0.25">
      <c r="A19" s="11" t="s">
        <v>98</v>
      </c>
      <c r="B19" s="11"/>
      <c r="C19" s="11"/>
      <c r="D19" s="11">
        <v>-27577</v>
      </c>
      <c r="E19" s="11"/>
      <c r="F19" s="14"/>
      <c r="G19" s="14"/>
      <c r="H19" s="14"/>
      <c r="I19" s="14"/>
      <c r="J19" s="11">
        <v>-17581</v>
      </c>
      <c r="K19" s="11"/>
      <c r="L19" s="14"/>
      <c r="P19" s="15">
        <v>-13390</v>
      </c>
      <c r="Q19" s="15"/>
    </row>
    <row r="20" spans="1:18" x14ac:dyDescent="0.25">
      <c r="A20" s="11" t="s">
        <v>99</v>
      </c>
      <c r="B20" s="11"/>
      <c r="C20" s="11"/>
      <c r="D20" s="11">
        <v>456156</v>
      </c>
      <c r="E20" s="11"/>
      <c r="F20" s="11"/>
      <c r="G20" s="14"/>
      <c r="H20" s="14"/>
      <c r="I20" s="14"/>
      <c r="J20" s="11">
        <v>451132</v>
      </c>
      <c r="K20" s="11"/>
      <c r="L20" s="11"/>
      <c r="P20" s="15">
        <v>288379</v>
      </c>
      <c r="Q20" s="15"/>
      <c r="R20" s="15"/>
    </row>
    <row r="21" spans="1:18" x14ac:dyDescent="0.25">
      <c r="A21" s="11" t="s">
        <v>100</v>
      </c>
      <c r="B21" s="11"/>
      <c r="C21" s="11"/>
      <c r="D21" s="11">
        <v>113049</v>
      </c>
      <c r="E21" s="11"/>
      <c r="F21" s="15"/>
      <c r="G21" s="14"/>
      <c r="H21" s="14"/>
      <c r="I21" s="14"/>
      <c r="J21" s="11">
        <v>110650</v>
      </c>
      <c r="K21" s="11"/>
      <c r="L21" s="15"/>
      <c r="P21" s="15">
        <v>70442</v>
      </c>
      <c r="Q21" s="15"/>
      <c r="R21" s="15"/>
    </row>
    <row r="22" spans="1:18" x14ac:dyDescent="0.25">
      <c r="A22" s="11" t="s">
        <v>101</v>
      </c>
      <c r="B22" s="11"/>
      <c r="C22" s="11"/>
      <c r="D22" s="11">
        <v>343107</v>
      </c>
      <c r="E22" s="11"/>
      <c r="F22" s="15"/>
      <c r="G22" s="14"/>
      <c r="H22" s="14"/>
      <c r="I22" s="14"/>
      <c r="J22" s="11">
        <v>340482</v>
      </c>
      <c r="K22" s="11"/>
      <c r="L22" s="15"/>
      <c r="P22" s="15">
        <v>217937</v>
      </c>
      <c r="Q22" s="15"/>
      <c r="R22" s="15"/>
    </row>
    <row r="23" spans="1:18" x14ac:dyDescent="0.25">
      <c r="A23" s="11" t="s">
        <v>187</v>
      </c>
      <c r="B23" s="11"/>
      <c r="C23" s="11"/>
      <c r="D23" s="11">
        <v>-126</v>
      </c>
      <c r="E23" s="11"/>
      <c r="F23" s="15"/>
      <c r="G23" s="14"/>
      <c r="H23" s="14"/>
      <c r="I23" s="14"/>
      <c r="J23" s="11">
        <v>696</v>
      </c>
      <c r="K23" s="11"/>
      <c r="L23" s="15"/>
      <c r="P23" s="15">
        <v>1030</v>
      </c>
      <c r="Q23" s="15"/>
      <c r="R23" s="15"/>
    </row>
    <row r="24" spans="1:18" x14ac:dyDescent="0.25">
      <c r="A24" s="11" t="s">
        <v>102</v>
      </c>
      <c r="B24" s="11"/>
      <c r="C24" s="11"/>
      <c r="D24" s="11">
        <v>343233</v>
      </c>
      <c r="E24" s="11"/>
      <c r="F24" s="15"/>
      <c r="G24" s="14"/>
      <c r="H24" s="14"/>
      <c r="I24" s="14"/>
      <c r="J24" s="11">
        <v>339786</v>
      </c>
      <c r="K24" s="11"/>
      <c r="L24" s="15"/>
      <c r="P24" s="15">
        <v>216907</v>
      </c>
      <c r="Q24" s="15"/>
      <c r="R24" s="15"/>
    </row>
    <row r="25" spans="1:18" x14ac:dyDescent="0.25">
      <c r="A25" s="11" t="s">
        <v>103</v>
      </c>
      <c r="B25" s="11"/>
      <c r="C25" s="11"/>
      <c r="D25" s="14"/>
      <c r="E25" s="14"/>
      <c r="G25" s="14"/>
      <c r="H25" s="14"/>
      <c r="I25" s="14"/>
      <c r="J25" s="14"/>
      <c r="K25" s="14"/>
    </row>
    <row r="26" spans="1:18" x14ac:dyDescent="0.25">
      <c r="A26" s="11" t="s">
        <v>104</v>
      </c>
      <c r="B26" s="11"/>
      <c r="C26" s="11"/>
      <c r="D26" s="14"/>
      <c r="E26" s="14"/>
      <c r="G26" s="14"/>
      <c r="H26" s="14"/>
      <c r="I26" s="14"/>
      <c r="J26" s="14"/>
      <c r="K26" s="14"/>
    </row>
    <row r="27" spans="1:18" x14ac:dyDescent="0.25">
      <c r="A27" s="11" t="s">
        <v>105</v>
      </c>
      <c r="B27" s="11"/>
      <c r="C27" s="11"/>
      <c r="D27" s="11">
        <v>6.14</v>
      </c>
      <c r="E27" s="11"/>
      <c r="F27" s="15"/>
      <c r="G27" s="14"/>
      <c r="H27" s="14"/>
      <c r="I27" s="14"/>
      <c r="J27" s="11">
        <v>6.09</v>
      </c>
      <c r="K27" s="11"/>
      <c r="L27" s="15"/>
      <c r="P27" s="15">
        <v>3.89</v>
      </c>
      <c r="Q27" s="15"/>
      <c r="R27" s="15"/>
    </row>
    <row r="28" spans="1:18" x14ac:dyDescent="0.25">
      <c r="A28" s="11" t="s">
        <v>106</v>
      </c>
      <c r="B28" s="11"/>
      <c r="C28" s="11"/>
      <c r="D28" s="11">
        <v>6.11</v>
      </c>
      <c r="E28" s="11"/>
      <c r="F28" s="15"/>
      <c r="G28" s="14"/>
      <c r="H28" s="14"/>
      <c r="I28" s="14"/>
      <c r="J28" s="11">
        <v>6.06</v>
      </c>
      <c r="K28" s="11"/>
      <c r="L28" s="15"/>
      <c r="P28" s="15">
        <v>3.87</v>
      </c>
      <c r="Q28" s="15"/>
      <c r="R28" s="15"/>
    </row>
    <row r="29" spans="1:18" x14ac:dyDescent="0.25">
      <c r="A29" s="11" t="s">
        <v>107</v>
      </c>
      <c r="B29" s="11"/>
      <c r="C29" s="11"/>
      <c r="D29" s="14"/>
      <c r="E29" s="14"/>
      <c r="G29" s="14"/>
      <c r="H29" s="14"/>
      <c r="I29" s="14"/>
      <c r="J29" s="14"/>
      <c r="K29" s="14"/>
    </row>
    <row r="30" spans="1:18" x14ac:dyDescent="0.25">
      <c r="A30" s="11" t="s">
        <v>212</v>
      </c>
      <c r="B30" s="11"/>
      <c r="C30" s="11"/>
      <c r="D30" s="11">
        <v>55918</v>
      </c>
      <c r="E30" s="11"/>
      <c r="F30" s="11"/>
      <c r="G30" s="14"/>
      <c r="H30" s="14"/>
      <c r="I30" s="14"/>
      <c r="J30" s="11">
        <v>55777</v>
      </c>
      <c r="K30" s="11"/>
      <c r="L30" s="11"/>
      <c r="P30" s="15">
        <v>55737</v>
      </c>
      <c r="Q30" s="15"/>
      <c r="R30" s="15"/>
    </row>
    <row r="31" spans="1:18" x14ac:dyDescent="0.25">
      <c r="A31" s="11" t="s">
        <v>213</v>
      </c>
      <c r="B31" s="11"/>
      <c r="C31" s="11"/>
      <c r="D31" s="11">
        <v>56210</v>
      </c>
      <c r="E31" s="11"/>
      <c r="F31" s="11"/>
      <c r="G31" s="14"/>
      <c r="H31" s="14"/>
      <c r="I31" s="14"/>
      <c r="J31" s="11">
        <v>56045</v>
      </c>
      <c r="K31" s="11"/>
      <c r="L31" s="11"/>
      <c r="P31" s="15">
        <v>56093</v>
      </c>
      <c r="Q31" s="15"/>
      <c r="R31" s="15"/>
    </row>
    <row r="32" spans="1:18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6" x14ac:dyDescent="0.25">
      <c r="A33" s="14"/>
      <c r="B33" s="14"/>
      <c r="C33" s="14"/>
      <c r="D33" s="14">
        <f>SUM(D7:D31)</f>
        <v>10973934.25</v>
      </c>
      <c r="E33" s="14"/>
      <c r="G33" s="14"/>
      <c r="H33" s="14"/>
      <c r="I33" s="14"/>
      <c r="J33" s="14">
        <f>SUM(J7:J31)</f>
        <v>10261452.15</v>
      </c>
      <c r="K33" s="14"/>
      <c r="P33" s="14">
        <f>SUM(P7:P31)</f>
        <v>8699715.7599999998</v>
      </c>
    </row>
    <row r="34" spans="1:16" x14ac:dyDescent="0.25">
      <c r="A34" s="14"/>
      <c r="B34" s="14"/>
      <c r="C34" s="14"/>
      <c r="D34" s="14"/>
      <c r="E34" s="14"/>
      <c r="G34" s="14"/>
      <c r="H34" s="14"/>
      <c r="I34" s="14"/>
      <c r="J34" s="14"/>
      <c r="K34" s="14"/>
    </row>
    <row r="35" spans="1:16" x14ac:dyDescent="0.25">
      <c r="A35" s="14"/>
      <c r="B35" s="14"/>
      <c r="C35" s="14"/>
      <c r="D35" s="14"/>
      <c r="E35" s="14"/>
      <c r="G35" s="14"/>
      <c r="H35" s="14"/>
      <c r="I35" s="14"/>
      <c r="J35" s="14"/>
      <c r="K35" s="14"/>
    </row>
    <row r="36" spans="1:16" x14ac:dyDescent="0.25">
      <c r="A36" s="14"/>
      <c r="B36" s="14"/>
      <c r="C36" s="14"/>
      <c r="D36" s="14"/>
      <c r="E36" s="14"/>
      <c r="G36" s="14"/>
      <c r="H36" s="14"/>
      <c r="I36" s="14"/>
      <c r="J36" s="14"/>
      <c r="K36" s="14"/>
    </row>
    <row r="37" spans="1:16" x14ac:dyDescent="0.25">
      <c r="A37" s="14"/>
      <c r="B37" s="14"/>
      <c r="C37" s="14"/>
      <c r="D37" s="14"/>
      <c r="E37" s="14"/>
      <c r="G37" s="14"/>
      <c r="H37" s="14"/>
      <c r="I37" s="14"/>
      <c r="J37" s="14"/>
      <c r="K37" s="14"/>
    </row>
    <row r="38" spans="1:16" x14ac:dyDescent="0.25">
      <c r="A38" s="14"/>
      <c r="B38" s="14"/>
      <c r="C38" s="14"/>
      <c r="D38" s="14"/>
      <c r="E38" s="14"/>
      <c r="G38" s="14"/>
      <c r="H38" s="14"/>
      <c r="I38" s="14"/>
      <c r="J38" s="14"/>
      <c r="K38" s="14"/>
    </row>
    <row r="39" spans="1:16" x14ac:dyDescent="0.25">
      <c r="A39" s="14"/>
      <c r="B39" s="14"/>
      <c r="C39" s="14"/>
      <c r="D39" s="14"/>
      <c r="E39" s="14"/>
      <c r="G39" s="14"/>
      <c r="H39" s="14"/>
      <c r="I39" s="14"/>
      <c r="J39" s="14"/>
      <c r="K39" s="14"/>
    </row>
    <row r="40" spans="1:16" x14ac:dyDescent="0.25">
      <c r="A40" s="14"/>
      <c r="B40" s="14"/>
      <c r="C40" s="14"/>
      <c r="D40" s="14"/>
      <c r="E40" s="14"/>
      <c r="G40" s="14"/>
      <c r="H40" s="14"/>
      <c r="I40" s="14"/>
      <c r="J40" s="14"/>
      <c r="K40" s="14"/>
    </row>
    <row r="41" spans="1:16" x14ac:dyDescent="0.25">
      <c r="A41" s="14"/>
      <c r="B41" s="14"/>
      <c r="C41" s="14"/>
      <c r="D41" s="14"/>
      <c r="E41" s="14"/>
      <c r="G41" s="14"/>
      <c r="H41" s="14"/>
      <c r="I41" s="14"/>
      <c r="J41" s="14"/>
      <c r="K41" s="14"/>
    </row>
    <row r="42" spans="1:16" x14ac:dyDescent="0.25">
      <c r="A42" s="14"/>
      <c r="B42" s="14"/>
      <c r="C42" s="14"/>
      <c r="D42" s="14"/>
      <c r="E42" s="14"/>
      <c r="G42" s="14"/>
      <c r="H42" s="14"/>
      <c r="I42" s="14"/>
      <c r="J42" s="14"/>
      <c r="K42" s="14"/>
    </row>
    <row r="43" spans="1:16" x14ac:dyDescent="0.25">
      <c r="A43" s="14"/>
      <c r="B43" s="14"/>
      <c r="C43" s="14"/>
      <c r="D43" s="14"/>
      <c r="E43" s="14"/>
      <c r="G43" s="14"/>
      <c r="H43" s="14"/>
      <c r="I43" s="14"/>
      <c r="J43" s="14"/>
      <c r="K43" s="1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5CEF-82BD-47F9-96C9-88592FA8B07C}">
  <sheetPr>
    <tabColor theme="4" tint="0.59999389629810485"/>
  </sheetPr>
  <dimension ref="A2:L43"/>
  <sheetViews>
    <sheetView workbookViewId="0"/>
  </sheetViews>
  <sheetFormatPr defaultRowHeight="15" x14ac:dyDescent="0.25"/>
  <cols>
    <col min="1" max="1" width="70.7109375" style="12" customWidth="1"/>
    <col min="2" max="2" width="9.140625" style="12"/>
    <col min="3" max="3" width="24.85546875" style="12" bestFit="1" customWidth="1"/>
    <col min="4" max="4" width="25" style="12" bestFit="1" customWidth="1"/>
    <col min="5" max="5" width="9.140625" style="12"/>
    <col min="6" max="6" width="11.5703125" style="12" bestFit="1" customWidth="1"/>
    <col min="7" max="7" width="13.28515625" style="12" bestFit="1" customWidth="1"/>
    <col min="8" max="8" width="9.140625" style="12"/>
    <col min="9" max="9" width="11.5703125" style="12" bestFit="1" customWidth="1"/>
    <col min="10" max="10" width="13.28515625" style="12" bestFit="1" customWidth="1"/>
    <col min="11" max="16384" width="9.140625" style="12"/>
  </cols>
  <sheetData>
    <row r="2" spans="1:12" x14ac:dyDescent="0.25">
      <c r="A2" s="11" t="s">
        <v>173</v>
      </c>
      <c r="B2" s="11"/>
      <c r="C2" s="11"/>
      <c r="D2" s="11"/>
      <c r="E2" s="11"/>
      <c r="F2" s="11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25">
      <c r="A6" s="14"/>
      <c r="B6" s="14"/>
      <c r="D6" s="11" t="s">
        <v>152</v>
      </c>
      <c r="E6" s="11"/>
      <c r="F6" s="11"/>
      <c r="G6" s="11"/>
      <c r="H6" s="11"/>
      <c r="I6" s="11"/>
      <c r="J6" s="11"/>
      <c r="K6" s="14"/>
      <c r="L6" s="14"/>
    </row>
    <row r="7" spans="1:12" x14ac:dyDescent="0.25">
      <c r="A7" s="14"/>
      <c r="B7" s="14"/>
      <c r="D7" s="11" t="s">
        <v>166</v>
      </c>
      <c r="E7" s="11"/>
      <c r="F7" s="14"/>
      <c r="G7" s="11" t="s">
        <v>167</v>
      </c>
      <c r="H7" s="11"/>
      <c r="I7" s="14"/>
      <c r="J7" s="11" t="s">
        <v>174</v>
      </c>
      <c r="K7" s="14"/>
      <c r="L7" s="14"/>
    </row>
    <row r="8" spans="1:12" x14ac:dyDescent="0.25">
      <c r="A8" s="14"/>
      <c r="B8" s="14"/>
      <c r="D8" s="11" t="s">
        <v>168</v>
      </c>
      <c r="E8" s="11"/>
      <c r="F8" s="14"/>
      <c r="G8" s="15" t="s">
        <v>169</v>
      </c>
      <c r="H8" s="11"/>
      <c r="I8" s="14"/>
      <c r="J8" s="11" t="s">
        <v>175</v>
      </c>
      <c r="K8" s="14"/>
    </row>
    <row r="9" spans="1:12" x14ac:dyDescent="0.25">
      <c r="A9" s="14"/>
      <c r="B9" s="14"/>
      <c r="D9" s="11" t="s">
        <v>155</v>
      </c>
      <c r="E9" s="11"/>
      <c r="F9" s="14"/>
      <c r="G9" s="15" t="s">
        <v>154</v>
      </c>
      <c r="H9" s="11"/>
      <c r="I9" s="14"/>
      <c r="J9" s="11" t="s">
        <v>154</v>
      </c>
      <c r="K9" s="14"/>
    </row>
    <row r="10" spans="1:12" x14ac:dyDescent="0.25">
      <c r="A10" s="14" t="s">
        <v>89</v>
      </c>
      <c r="B10" s="14"/>
      <c r="D10" s="14">
        <v>3691893</v>
      </c>
      <c r="E10" s="14"/>
      <c r="F10" s="14"/>
      <c r="G10" s="12">
        <v>3243224</v>
      </c>
      <c r="H10" s="14"/>
      <c r="I10" s="14"/>
      <c r="J10" s="14">
        <v>3192399</v>
      </c>
      <c r="K10" s="14"/>
    </row>
    <row r="11" spans="1:12" x14ac:dyDescent="0.25">
      <c r="A11" s="14" t="s">
        <v>90</v>
      </c>
      <c r="B11" s="14"/>
      <c r="C11" s="14"/>
      <c r="D11" s="14">
        <v>2133645</v>
      </c>
      <c r="E11" s="14"/>
      <c r="G11" s="14">
        <v>1909709</v>
      </c>
      <c r="H11" s="14"/>
      <c r="I11" s="14"/>
      <c r="J11" s="14">
        <v>1849077</v>
      </c>
      <c r="K11" s="14"/>
    </row>
    <row r="12" spans="1:12" x14ac:dyDescent="0.25">
      <c r="A12" s="14" t="s">
        <v>91</v>
      </c>
      <c r="B12" s="14"/>
      <c r="C12" s="14"/>
      <c r="D12" s="14">
        <v>1558248</v>
      </c>
      <c r="E12" s="14"/>
      <c r="G12" s="14">
        <v>1333515</v>
      </c>
      <c r="H12" s="14"/>
      <c r="I12" s="14"/>
      <c r="J12" s="14">
        <v>1343322</v>
      </c>
      <c r="K12" s="14"/>
    </row>
    <row r="13" spans="1:12" x14ac:dyDescent="0.25">
      <c r="A13" s="14" t="s">
        <v>92</v>
      </c>
      <c r="B13" s="14"/>
      <c r="C13" s="14"/>
      <c r="D13" s="14">
        <v>1083862</v>
      </c>
      <c r="E13" s="14"/>
      <c r="G13" s="14">
        <v>994468</v>
      </c>
      <c r="H13" s="14"/>
      <c r="I13" s="14"/>
      <c r="J13" s="14">
        <v>975553</v>
      </c>
      <c r="K13" s="14"/>
    </row>
    <row r="14" spans="1:12" x14ac:dyDescent="0.25">
      <c r="A14" s="14" t="s">
        <v>156</v>
      </c>
      <c r="B14" s="14"/>
      <c r="C14" s="14"/>
      <c r="D14" s="14" t="s">
        <v>78</v>
      </c>
      <c r="E14" s="14"/>
      <c r="G14" s="14">
        <v>5886</v>
      </c>
      <c r="H14" s="14"/>
      <c r="I14" s="14"/>
      <c r="J14" s="14" t="s">
        <v>78</v>
      </c>
      <c r="K14" s="14"/>
    </row>
    <row r="15" spans="1:12" x14ac:dyDescent="0.25">
      <c r="A15" s="14" t="s">
        <v>93</v>
      </c>
      <c r="B15" s="14"/>
      <c r="C15" s="14"/>
      <c r="D15" s="14">
        <v>15805</v>
      </c>
      <c r="E15" s="14"/>
      <c r="G15" s="14">
        <v>31392</v>
      </c>
      <c r="H15" s="14"/>
      <c r="I15" s="14"/>
      <c r="J15" s="14">
        <v>17029</v>
      </c>
      <c r="K15" s="14"/>
    </row>
    <row r="16" spans="1:12" x14ac:dyDescent="0.25">
      <c r="A16" s="14" t="s">
        <v>157</v>
      </c>
      <c r="B16" s="14"/>
      <c r="C16" s="14"/>
      <c r="D16" s="14">
        <v>-10132</v>
      </c>
      <c r="E16" s="14"/>
      <c r="G16" s="14" t="s">
        <v>78</v>
      </c>
      <c r="H16" s="14"/>
      <c r="I16" s="14"/>
      <c r="J16" s="14" t="s">
        <v>78</v>
      </c>
      <c r="K16" s="14"/>
    </row>
    <row r="17" spans="1:12" x14ac:dyDescent="0.25">
      <c r="A17" s="14" t="s">
        <v>94</v>
      </c>
      <c r="B17" s="14"/>
      <c r="C17" s="14"/>
      <c r="D17" s="14">
        <v>468713</v>
      </c>
      <c r="E17" s="14"/>
      <c r="G17" s="14">
        <v>301769</v>
      </c>
      <c r="H17" s="14"/>
      <c r="I17" s="14"/>
      <c r="J17" s="14">
        <v>350740</v>
      </c>
      <c r="K17" s="14"/>
    </row>
    <row r="18" spans="1:12" x14ac:dyDescent="0.25">
      <c r="A18" s="14" t="s">
        <v>95</v>
      </c>
      <c r="B18" s="14"/>
      <c r="C18" s="14"/>
      <c r="D18" s="14"/>
      <c r="E18" s="14"/>
      <c r="G18" s="14"/>
      <c r="H18" s="14"/>
      <c r="I18" s="14"/>
      <c r="J18" s="14"/>
      <c r="K18" s="14"/>
    </row>
    <row r="19" spans="1:12" x14ac:dyDescent="0.25">
      <c r="A19" s="14" t="s">
        <v>96</v>
      </c>
      <c r="B19" s="14"/>
      <c r="C19" s="14"/>
      <c r="D19" s="14">
        <v>-17599</v>
      </c>
      <c r="E19" s="14"/>
      <c r="F19" s="14"/>
      <c r="G19" s="14">
        <v>-14510</v>
      </c>
      <c r="H19" s="14"/>
      <c r="I19" s="14"/>
      <c r="J19" s="14">
        <v>-16673</v>
      </c>
      <c r="K19" s="14"/>
      <c r="L19" s="14"/>
    </row>
    <row r="20" spans="1:12" x14ac:dyDescent="0.25">
      <c r="A20" s="14" t="s">
        <v>97</v>
      </c>
      <c r="B20" s="14"/>
      <c r="C20" s="14"/>
      <c r="D20" s="14">
        <v>150</v>
      </c>
      <c r="E20" s="14"/>
      <c r="F20" s="14"/>
      <c r="G20" s="14">
        <v>66</v>
      </c>
      <c r="H20" s="14"/>
      <c r="I20" s="14"/>
      <c r="J20" s="14">
        <v>333</v>
      </c>
      <c r="K20" s="14"/>
      <c r="L20" s="14"/>
    </row>
    <row r="21" spans="1:12" x14ac:dyDescent="0.25">
      <c r="A21" s="14" t="s">
        <v>176</v>
      </c>
      <c r="B21" s="14"/>
      <c r="C21" s="14"/>
      <c r="D21" s="14">
        <v>-132</v>
      </c>
      <c r="E21" s="14"/>
      <c r="G21" s="14">
        <v>1054</v>
      </c>
      <c r="H21" s="14"/>
      <c r="I21" s="14"/>
      <c r="J21" s="14">
        <v>-150</v>
      </c>
      <c r="K21" s="14"/>
    </row>
    <row r="22" spans="1:12" x14ac:dyDescent="0.25">
      <c r="A22" s="11" t="s">
        <v>98</v>
      </c>
      <c r="B22" s="14"/>
      <c r="C22" s="14"/>
      <c r="D22" s="14">
        <v>-17581</v>
      </c>
      <c r="E22" s="14"/>
      <c r="G22" s="14">
        <v>-13390</v>
      </c>
      <c r="H22" s="14"/>
      <c r="I22" s="14"/>
      <c r="J22" s="14">
        <v>-16490</v>
      </c>
      <c r="K22" s="14"/>
    </row>
    <row r="23" spans="1:12" x14ac:dyDescent="0.25">
      <c r="A23" s="14" t="s">
        <v>99</v>
      </c>
      <c r="B23" s="14"/>
      <c r="C23" s="14"/>
      <c r="D23" s="14">
        <v>451132</v>
      </c>
      <c r="E23" s="14"/>
      <c r="G23" s="14">
        <v>288379</v>
      </c>
      <c r="H23" s="14"/>
      <c r="I23" s="14"/>
      <c r="J23" s="14">
        <v>334250</v>
      </c>
      <c r="K23" s="14"/>
    </row>
    <row r="24" spans="1:12" x14ac:dyDescent="0.25">
      <c r="A24" s="14" t="s">
        <v>100</v>
      </c>
      <c r="B24" s="14"/>
      <c r="C24" s="14"/>
      <c r="D24" s="14">
        <v>110650</v>
      </c>
      <c r="E24" s="14"/>
      <c r="G24" s="14">
        <v>70442</v>
      </c>
      <c r="H24" s="14"/>
      <c r="I24" s="14"/>
      <c r="J24" s="14">
        <v>82492</v>
      </c>
      <c r="K24" s="14"/>
    </row>
    <row r="25" spans="1:12" x14ac:dyDescent="0.25">
      <c r="A25" s="14" t="s">
        <v>101</v>
      </c>
      <c r="B25" s="14"/>
      <c r="C25" s="14"/>
      <c r="D25" s="14">
        <v>340482</v>
      </c>
      <c r="E25" s="14"/>
      <c r="G25" s="14">
        <v>217937</v>
      </c>
      <c r="H25" s="14"/>
      <c r="I25" s="14"/>
      <c r="J25" s="14">
        <v>251758</v>
      </c>
      <c r="K25" s="14"/>
    </row>
    <row r="26" spans="1:12" x14ac:dyDescent="0.25">
      <c r="A26" s="14" t="s">
        <v>177</v>
      </c>
      <c r="B26" s="14"/>
      <c r="C26" s="14"/>
      <c r="D26" s="14">
        <v>696</v>
      </c>
      <c r="E26" s="14"/>
      <c r="G26" s="14">
        <v>1030</v>
      </c>
      <c r="H26" s="14"/>
      <c r="I26" s="14"/>
      <c r="J26" s="14">
        <v>641</v>
      </c>
      <c r="K26" s="14"/>
    </row>
    <row r="27" spans="1:12" x14ac:dyDescent="0.25">
      <c r="A27" s="14" t="s">
        <v>102</v>
      </c>
      <c r="B27" s="14"/>
      <c r="D27" s="14">
        <v>339786</v>
      </c>
      <c r="E27" s="14"/>
      <c r="F27" s="14"/>
      <c r="G27" s="12">
        <v>216907</v>
      </c>
      <c r="H27" s="14"/>
      <c r="I27" s="14"/>
      <c r="J27" s="14">
        <v>251117</v>
      </c>
      <c r="K27" s="14"/>
    </row>
    <row r="28" spans="1:12" x14ac:dyDescent="0.25">
      <c r="A28" s="14" t="s">
        <v>103</v>
      </c>
      <c r="B28" s="14"/>
      <c r="D28" s="14"/>
      <c r="E28" s="14"/>
      <c r="F28" s="14"/>
      <c r="H28" s="14"/>
      <c r="I28" s="14"/>
      <c r="J28" s="14"/>
      <c r="K28" s="14"/>
    </row>
    <row r="29" spans="1:12" x14ac:dyDescent="0.25">
      <c r="A29" s="14" t="s">
        <v>104</v>
      </c>
      <c r="B29" s="14"/>
      <c r="D29" s="14"/>
      <c r="E29" s="14"/>
      <c r="F29" s="14"/>
      <c r="H29" s="14"/>
      <c r="I29" s="14"/>
      <c r="J29" s="14"/>
      <c r="K29" s="14"/>
    </row>
    <row r="30" spans="1:12" x14ac:dyDescent="0.25">
      <c r="A30" s="14" t="s">
        <v>105</v>
      </c>
      <c r="B30" s="14"/>
      <c r="D30" s="14">
        <v>6.09</v>
      </c>
      <c r="E30" s="14"/>
      <c r="F30" s="14"/>
      <c r="G30" s="14">
        <v>3.89</v>
      </c>
      <c r="H30" s="14"/>
      <c r="I30" s="14"/>
      <c r="J30" s="14">
        <v>4.53</v>
      </c>
      <c r="K30" s="14"/>
      <c r="L30" s="14"/>
    </row>
    <row r="31" spans="1:12" x14ac:dyDescent="0.25">
      <c r="A31" s="14" t="s">
        <v>106</v>
      </c>
      <c r="B31" s="14"/>
      <c r="D31" s="14">
        <v>6.06</v>
      </c>
      <c r="E31" s="14"/>
      <c r="F31" s="14"/>
      <c r="G31" s="14">
        <v>3.87</v>
      </c>
      <c r="H31" s="14"/>
      <c r="I31" s="14"/>
      <c r="J31" s="14">
        <v>4.51</v>
      </c>
      <c r="K31" s="14"/>
      <c r="L31" s="14"/>
    </row>
    <row r="32" spans="1:12" x14ac:dyDescent="0.25">
      <c r="A32" s="14" t="s">
        <v>107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1" x14ac:dyDescent="0.25">
      <c r="A33" s="14" t="s">
        <v>212</v>
      </c>
      <c r="B33" s="14"/>
      <c r="C33" s="14"/>
      <c r="D33" s="14">
        <v>55777</v>
      </c>
      <c r="E33" s="14"/>
      <c r="G33" s="14">
        <v>55737</v>
      </c>
      <c r="H33" s="14"/>
      <c r="I33" s="14"/>
      <c r="J33" s="14">
        <v>55472</v>
      </c>
      <c r="K33" s="14"/>
    </row>
    <row r="34" spans="1:11" x14ac:dyDescent="0.25">
      <c r="A34" s="14" t="s">
        <v>213</v>
      </c>
      <c r="B34" s="14"/>
      <c r="C34" s="14"/>
      <c r="D34" s="14">
        <v>56045</v>
      </c>
      <c r="E34" s="14"/>
      <c r="G34" s="14">
        <v>56093</v>
      </c>
      <c r="H34" s="14"/>
      <c r="I34" s="14"/>
      <c r="J34" s="14">
        <v>55643</v>
      </c>
      <c r="K34" s="14"/>
    </row>
    <row r="35" spans="1:11" x14ac:dyDescent="0.25">
      <c r="A35" s="14"/>
      <c r="B35" s="14"/>
      <c r="C35" s="14"/>
      <c r="D35" s="14"/>
      <c r="E35" s="14"/>
      <c r="G35" s="14"/>
      <c r="H35" s="14"/>
      <c r="I35" s="14"/>
      <c r="J35" s="14"/>
      <c r="K35" s="14"/>
    </row>
    <row r="36" spans="1:11" x14ac:dyDescent="0.25">
      <c r="A36" s="14" t="s">
        <v>172</v>
      </c>
      <c r="B36" s="14"/>
      <c r="C36" s="14"/>
      <c r="D36" s="14">
        <f>SUM(D10:D34)</f>
        <v>10261452.15</v>
      </c>
      <c r="E36" s="14"/>
      <c r="G36" s="14">
        <f>SUM(G10:G34)</f>
        <v>8699715.7599999998</v>
      </c>
      <c r="H36" s="14"/>
      <c r="I36" s="14"/>
      <c r="J36" s="14">
        <f>SUM(J10:J34)</f>
        <v>8726522.0399999991</v>
      </c>
      <c r="K36" s="14"/>
    </row>
    <row r="37" spans="1:11" x14ac:dyDescent="0.25">
      <c r="A37" s="14"/>
      <c r="B37" s="14"/>
      <c r="C37" s="14"/>
      <c r="D37" s="14"/>
      <c r="E37" s="14"/>
      <c r="G37" s="14"/>
      <c r="H37" s="14"/>
      <c r="I37" s="14"/>
      <c r="J37" s="14"/>
      <c r="K37" s="14"/>
    </row>
    <row r="38" spans="1:11" x14ac:dyDescent="0.25">
      <c r="A38" s="14"/>
      <c r="B38" s="14"/>
      <c r="C38" s="14"/>
      <c r="D38" s="14"/>
      <c r="E38" s="14"/>
      <c r="G38" s="14"/>
      <c r="H38" s="14"/>
      <c r="I38" s="14"/>
      <c r="J38" s="14"/>
      <c r="K38" s="14"/>
    </row>
    <row r="39" spans="1:11" x14ac:dyDescent="0.25">
      <c r="A39" s="14"/>
      <c r="B39" s="14"/>
      <c r="C39" s="14"/>
      <c r="D39" s="14"/>
      <c r="E39" s="14"/>
      <c r="G39" s="14"/>
      <c r="H39" s="14"/>
      <c r="I39" s="14"/>
      <c r="J39" s="14"/>
      <c r="K39" s="14"/>
    </row>
    <row r="40" spans="1:11" x14ac:dyDescent="0.25">
      <c r="A40" s="14"/>
      <c r="B40" s="14"/>
      <c r="C40" s="14"/>
      <c r="D40" s="14"/>
      <c r="E40" s="14"/>
      <c r="G40" s="14"/>
      <c r="H40" s="14"/>
      <c r="I40" s="14"/>
      <c r="J40" s="14"/>
      <c r="K40" s="14"/>
    </row>
    <row r="41" spans="1:11" x14ac:dyDescent="0.25">
      <c r="A41" s="14"/>
      <c r="B41" s="14"/>
      <c r="C41" s="14"/>
      <c r="D41" s="14"/>
      <c r="E41" s="14"/>
      <c r="G41" s="14"/>
      <c r="H41" s="14"/>
      <c r="I41" s="14"/>
      <c r="J41" s="14"/>
      <c r="K41" s="14"/>
    </row>
    <row r="42" spans="1:11" x14ac:dyDescent="0.25">
      <c r="A42" s="14"/>
      <c r="B42" s="14"/>
      <c r="C42" s="14"/>
      <c r="D42" s="14"/>
      <c r="E42" s="14"/>
      <c r="G42" s="14"/>
      <c r="H42" s="14"/>
      <c r="I42" s="14"/>
      <c r="J42" s="14"/>
      <c r="K42" s="14"/>
    </row>
    <row r="43" spans="1:11" x14ac:dyDescent="0.25">
      <c r="A43" s="14"/>
      <c r="B43" s="14"/>
      <c r="C43" s="14"/>
      <c r="D43" s="14"/>
      <c r="E43" s="14"/>
      <c r="G43" s="14"/>
      <c r="H43" s="14"/>
      <c r="I43" s="14"/>
      <c r="J43" s="14"/>
      <c r="K43" s="1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F8A3-8F5B-460E-8333-76958DF7B427}">
  <sheetPr>
    <tabColor theme="4" tint="0.59999389629810485"/>
  </sheetPr>
  <dimension ref="A2:L44"/>
  <sheetViews>
    <sheetView workbookViewId="0"/>
  </sheetViews>
  <sheetFormatPr defaultRowHeight="15" x14ac:dyDescent="0.25"/>
  <cols>
    <col min="1" max="1" width="70.7109375" style="12" customWidth="1"/>
    <col min="2" max="3" width="9.140625" style="12"/>
    <col min="4" max="4" width="25" style="12" bestFit="1" customWidth="1"/>
    <col min="5" max="6" width="9.140625" style="12"/>
    <col min="7" max="7" width="13.28515625" style="12" bestFit="1" customWidth="1"/>
    <col min="8" max="9" width="9.140625" style="12"/>
    <col min="10" max="10" width="13.28515625" style="12" bestFit="1" customWidth="1"/>
    <col min="11" max="16384" width="9.140625" style="12"/>
  </cols>
  <sheetData>
    <row r="2" spans="1:12" x14ac:dyDescent="0.25">
      <c r="A2" s="11" t="s">
        <v>173</v>
      </c>
      <c r="B2" s="11"/>
      <c r="C2" s="11"/>
      <c r="D2" s="11"/>
      <c r="E2" s="11"/>
      <c r="F2" s="11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25">
      <c r="A6" s="14"/>
      <c r="B6" s="14"/>
      <c r="D6" s="11" t="s">
        <v>152</v>
      </c>
      <c r="E6" s="11"/>
      <c r="F6" s="11"/>
      <c r="G6" s="11"/>
      <c r="H6" s="11"/>
      <c r="I6" s="11"/>
      <c r="J6" s="11"/>
      <c r="K6" s="14"/>
      <c r="L6" s="14"/>
    </row>
    <row r="7" spans="1:12" x14ac:dyDescent="0.25">
      <c r="A7" s="14"/>
      <c r="B7" s="14"/>
      <c r="D7" s="11" t="s">
        <v>167</v>
      </c>
      <c r="E7" s="11"/>
      <c r="F7" s="14"/>
      <c r="G7" s="11" t="s">
        <v>174</v>
      </c>
      <c r="H7" s="11"/>
      <c r="I7" s="14"/>
      <c r="J7" s="11" t="s">
        <v>189</v>
      </c>
      <c r="K7" s="14"/>
      <c r="L7" s="14"/>
    </row>
    <row r="8" spans="1:12" x14ac:dyDescent="0.25">
      <c r="A8" s="14"/>
      <c r="B8" s="14"/>
      <c r="D8" s="11" t="s">
        <v>169</v>
      </c>
      <c r="E8" s="11"/>
      <c r="F8" s="14"/>
      <c r="G8" s="15" t="s">
        <v>175</v>
      </c>
      <c r="H8" s="11"/>
      <c r="I8" s="14"/>
      <c r="J8" s="11" t="s">
        <v>188</v>
      </c>
      <c r="K8" s="14"/>
    </row>
    <row r="9" spans="1:12" x14ac:dyDescent="0.25">
      <c r="A9" s="14"/>
      <c r="B9" s="14"/>
      <c r="D9" s="11" t="s">
        <v>154</v>
      </c>
      <c r="E9" s="11"/>
      <c r="F9" s="14"/>
      <c r="G9" s="15" t="s">
        <v>154</v>
      </c>
      <c r="H9" s="11"/>
      <c r="I9" s="14"/>
      <c r="J9" s="11" t="s">
        <v>154</v>
      </c>
      <c r="K9" s="14"/>
    </row>
    <row r="10" spans="1:12" x14ac:dyDescent="0.25">
      <c r="A10" s="14" t="s">
        <v>89</v>
      </c>
      <c r="B10" s="14"/>
      <c r="D10" s="14">
        <v>3243224</v>
      </c>
      <c r="E10" s="14"/>
      <c r="F10" s="14"/>
      <c r="G10" s="12">
        <v>3192399</v>
      </c>
      <c r="H10" s="14"/>
      <c r="I10" s="14"/>
      <c r="J10" s="14">
        <v>3363817</v>
      </c>
      <c r="K10" s="14"/>
    </row>
    <row r="11" spans="1:12" x14ac:dyDescent="0.25">
      <c r="A11" s="14" t="s">
        <v>90</v>
      </c>
      <c r="B11" s="14"/>
      <c r="C11" s="14"/>
      <c r="D11" s="14">
        <v>1909709</v>
      </c>
      <c r="E11" s="14"/>
      <c r="G11" s="14">
        <v>1849077</v>
      </c>
      <c r="H11" s="14"/>
      <c r="I11" s="14"/>
      <c r="J11" s="14">
        <v>1931774</v>
      </c>
      <c r="K11" s="14"/>
    </row>
    <row r="12" spans="1:12" x14ac:dyDescent="0.25">
      <c r="A12" s="14" t="s">
        <v>91</v>
      </c>
      <c r="B12" s="14"/>
      <c r="C12" s="14"/>
      <c r="D12" s="14">
        <v>1333515</v>
      </c>
      <c r="E12" s="14"/>
      <c r="G12" s="14">
        <v>1343322</v>
      </c>
      <c r="H12" s="14"/>
      <c r="I12" s="14"/>
      <c r="J12" s="14">
        <v>1432043</v>
      </c>
      <c r="K12" s="14"/>
    </row>
    <row r="13" spans="1:12" x14ac:dyDescent="0.25">
      <c r="A13" s="14" t="s">
        <v>92</v>
      </c>
      <c r="B13" s="14"/>
      <c r="C13" s="14"/>
      <c r="D13" s="14">
        <v>994468</v>
      </c>
      <c r="E13" s="14"/>
      <c r="G13" s="14">
        <v>975553</v>
      </c>
      <c r="H13" s="14"/>
      <c r="I13" s="14"/>
      <c r="J13" s="14">
        <v>1025322</v>
      </c>
      <c r="K13" s="14"/>
    </row>
    <row r="14" spans="1:12" x14ac:dyDescent="0.25">
      <c r="A14" s="14" t="s">
        <v>156</v>
      </c>
      <c r="B14" s="14"/>
      <c r="C14" s="14"/>
      <c r="D14" s="14">
        <v>5886</v>
      </c>
      <c r="E14" s="14"/>
      <c r="G14" s="14" t="s">
        <v>78</v>
      </c>
      <c r="H14" s="14"/>
      <c r="I14" s="14"/>
      <c r="J14" s="14" t="s">
        <v>78</v>
      </c>
      <c r="K14" s="14"/>
    </row>
    <row r="15" spans="1:12" x14ac:dyDescent="0.25">
      <c r="A15" s="14" t="s">
        <v>186</v>
      </c>
      <c r="B15" s="14"/>
      <c r="C15" s="14"/>
      <c r="D15" s="14">
        <v>31392</v>
      </c>
      <c r="E15" s="14"/>
      <c r="G15" s="14">
        <v>17029</v>
      </c>
      <c r="H15" s="14"/>
      <c r="I15" s="14"/>
      <c r="J15" s="14">
        <v>6725</v>
      </c>
      <c r="K15" s="14"/>
    </row>
    <row r="16" spans="1:12" x14ac:dyDescent="0.25">
      <c r="A16" s="14"/>
      <c r="B16" s="14"/>
      <c r="C16" s="14"/>
      <c r="D16" s="14"/>
      <c r="E16" s="14"/>
      <c r="G16" s="14"/>
      <c r="H16" s="14"/>
      <c r="I16" s="14"/>
      <c r="J16" s="14"/>
      <c r="K16" s="14"/>
    </row>
    <row r="17" spans="1:12" x14ac:dyDescent="0.25">
      <c r="A17" s="14" t="s">
        <v>94</v>
      </c>
      <c r="B17" s="14"/>
      <c r="C17" s="14"/>
      <c r="D17" s="14">
        <v>301769</v>
      </c>
      <c r="E17" s="14"/>
      <c r="G17" s="14">
        <v>350740</v>
      </c>
      <c r="H17" s="14"/>
      <c r="I17" s="14"/>
      <c r="J17" s="14">
        <v>399996</v>
      </c>
      <c r="K17" s="14"/>
    </row>
    <row r="18" spans="1:12" x14ac:dyDescent="0.25">
      <c r="A18" s="14" t="s">
        <v>95</v>
      </c>
      <c r="B18" s="14"/>
      <c r="C18" s="14"/>
      <c r="D18" s="14"/>
      <c r="E18" s="14"/>
      <c r="G18" s="14"/>
      <c r="H18" s="14"/>
      <c r="I18" s="14"/>
      <c r="J18" s="14"/>
      <c r="K18" s="14"/>
    </row>
    <row r="19" spans="1:12" x14ac:dyDescent="0.25">
      <c r="A19" s="14" t="s">
        <v>96</v>
      </c>
      <c r="B19" s="14"/>
      <c r="C19" s="14"/>
      <c r="D19" s="14">
        <v>-14510</v>
      </c>
      <c r="E19" s="14"/>
      <c r="G19" s="14">
        <v>-16673</v>
      </c>
      <c r="H19" s="14"/>
      <c r="I19" s="14"/>
      <c r="J19" s="14">
        <v>-16890</v>
      </c>
      <c r="K19" s="14"/>
    </row>
    <row r="20" spans="1:12" x14ac:dyDescent="0.25">
      <c r="A20" s="14" t="s">
        <v>97</v>
      </c>
      <c r="B20" s="14"/>
      <c r="C20" s="14"/>
      <c r="D20" s="14">
        <v>66</v>
      </c>
      <c r="E20" s="14"/>
      <c r="F20" s="14"/>
      <c r="G20" s="14">
        <v>333</v>
      </c>
      <c r="H20" s="14"/>
      <c r="I20" s="14"/>
      <c r="J20" s="14">
        <v>518</v>
      </c>
      <c r="K20" s="14"/>
      <c r="L20" s="14"/>
    </row>
    <row r="21" spans="1:12" x14ac:dyDescent="0.25">
      <c r="A21" s="14" t="s">
        <v>176</v>
      </c>
      <c r="B21" s="14"/>
      <c r="C21" s="14"/>
      <c r="D21" s="14">
        <v>1054</v>
      </c>
      <c r="E21" s="14"/>
      <c r="F21" s="14"/>
      <c r="G21" s="14">
        <v>-150</v>
      </c>
      <c r="H21" s="14"/>
      <c r="I21" s="14"/>
      <c r="J21" s="14">
        <v>-495</v>
      </c>
      <c r="K21" s="14"/>
      <c r="L21" s="14"/>
    </row>
    <row r="22" spans="1:12" x14ac:dyDescent="0.25">
      <c r="A22" s="11" t="s">
        <v>98</v>
      </c>
      <c r="B22" s="14"/>
      <c r="C22" s="14"/>
      <c r="D22" s="14">
        <v>-13390</v>
      </c>
      <c r="E22" s="14"/>
      <c r="G22" s="14">
        <v>-16490</v>
      </c>
      <c r="H22" s="14"/>
      <c r="I22" s="14"/>
      <c r="J22" s="14">
        <v>-16867</v>
      </c>
      <c r="K22" s="14"/>
    </row>
    <row r="23" spans="1:12" x14ac:dyDescent="0.25">
      <c r="A23" s="14" t="s">
        <v>99</v>
      </c>
      <c r="B23" s="14"/>
      <c r="C23" s="14"/>
      <c r="D23" s="14">
        <v>288379</v>
      </c>
      <c r="E23" s="14"/>
      <c r="G23" s="14">
        <v>334250</v>
      </c>
      <c r="H23" s="14"/>
      <c r="I23" s="14"/>
      <c r="J23" s="14">
        <v>383129</v>
      </c>
      <c r="K23" s="14"/>
    </row>
    <row r="24" spans="1:12" x14ac:dyDescent="0.25">
      <c r="A24" s="14" t="s">
        <v>100</v>
      </c>
      <c r="B24" s="14"/>
      <c r="C24" s="14"/>
      <c r="D24" s="14">
        <v>70442</v>
      </c>
      <c r="E24" s="14"/>
      <c r="G24" s="14">
        <v>82492</v>
      </c>
      <c r="H24" s="14"/>
      <c r="I24" s="14"/>
      <c r="J24" s="14">
        <v>94332</v>
      </c>
      <c r="K24" s="14"/>
    </row>
    <row r="25" spans="1:12" x14ac:dyDescent="0.25">
      <c r="A25" s="14" t="s">
        <v>101</v>
      </c>
      <c r="B25" s="14"/>
      <c r="C25" s="14"/>
      <c r="D25" s="14">
        <v>217937</v>
      </c>
      <c r="E25" s="14"/>
      <c r="G25" s="14">
        <v>251758</v>
      </c>
      <c r="H25" s="14"/>
      <c r="I25" s="14"/>
      <c r="J25" s="14">
        <v>288797</v>
      </c>
      <c r="K25" s="14"/>
    </row>
    <row r="26" spans="1:12" x14ac:dyDescent="0.25">
      <c r="A26" s="14" t="s">
        <v>187</v>
      </c>
      <c r="B26" s="14"/>
      <c r="C26" s="14"/>
      <c r="D26" s="14">
        <v>1030</v>
      </c>
      <c r="E26" s="14"/>
      <c r="G26" s="14">
        <v>641</v>
      </c>
      <c r="H26" s="14"/>
      <c r="I26" s="14"/>
      <c r="J26" s="14">
        <v>-68</v>
      </c>
      <c r="K26" s="14"/>
    </row>
    <row r="27" spans="1:12" x14ac:dyDescent="0.25">
      <c r="A27" s="14" t="s">
        <v>102</v>
      </c>
      <c r="B27" s="14"/>
      <c r="D27" s="14">
        <v>216907</v>
      </c>
      <c r="E27" s="14"/>
      <c r="F27" s="14"/>
      <c r="G27" s="12">
        <v>251117</v>
      </c>
      <c r="H27" s="14"/>
      <c r="I27" s="14"/>
      <c r="J27" s="14">
        <v>288865</v>
      </c>
      <c r="K27" s="14"/>
    </row>
    <row r="28" spans="1:12" x14ac:dyDescent="0.25">
      <c r="A28" s="14" t="s">
        <v>103</v>
      </c>
      <c r="B28" s="14"/>
      <c r="D28" s="14"/>
      <c r="E28" s="14"/>
      <c r="F28" s="14"/>
      <c r="H28" s="14"/>
      <c r="I28" s="14"/>
      <c r="J28" s="14"/>
      <c r="K28" s="14"/>
    </row>
    <row r="29" spans="1:12" x14ac:dyDescent="0.25">
      <c r="A29" s="14" t="s">
        <v>104</v>
      </c>
      <c r="B29" s="14"/>
      <c r="D29" s="14"/>
      <c r="E29" s="14"/>
      <c r="F29" s="14"/>
      <c r="H29" s="14"/>
      <c r="I29" s="14"/>
      <c r="J29" s="14"/>
      <c r="K29" s="14"/>
    </row>
    <row r="30" spans="1:12" x14ac:dyDescent="0.25">
      <c r="A30" s="14" t="s">
        <v>105</v>
      </c>
      <c r="B30" s="14"/>
      <c r="D30" s="14">
        <v>3.89</v>
      </c>
      <c r="E30" s="14"/>
      <c r="F30" s="14"/>
      <c r="G30" s="12">
        <v>4.53</v>
      </c>
      <c r="H30" s="14"/>
      <c r="I30" s="14"/>
      <c r="J30" s="14">
        <v>5.23</v>
      </c>
      <c r="K30" s="14"/>
    </row>
    <row r="31" spans="1:12" x14ac:dyDescent="0.25">
      <c r="A31" s="14" t="s">
        <v>106</v>
      </c>
      <c r="B31" s="14"/>
      <c r="D31" s="14">
        <v>3.87</v>
      </c>
      <c r="E31" s="14"/>
      <c r="F31" s="14"/>
      <c r="G31" s="14">
        <v>4.51</v>
      </c>
      <c r="H31" s="14"/>
      <c r="I31" s="14"/>
      <c r="J31" s="14">
        <v>5.2</v>
      </c>
      <c r="K31" s="14"/>
      <c r="L31" s="14"/>
    </row>
    <row r="32" spans="1:12" x14ac:dyDescent="0.25">
      <c r="A32" s="14" t="s">
        <v>107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x14ac:dyDescent="0.25">
      <c r="A33" s="14" t="s">
        <v>212</v>
      </c>
      <c r="B33" s="14"/>
      <c r="C33" s="14"/>
      <c r="D33" s="14">
        <v>55737</v>
      </c>
      <c r="E33" s="14"/>
      <c r="F33" s="14"/>
      <c r="G33" s="14">
        <v>55472</v>
      </c>
      <c r="H33" s="14"/>
      <c r="I33" s="14"/>
      <c r="J33" s="14">
        <v>55245</v>
      </c>
      <c r="K33" s="14"/>
      <c r="L33" s="14"/>
    </row>
    <row r="34" spans="1:12" x14ac:dyDescent="0.25">
      <c r="A34" s="14" t="s">
        <v>213</v>
      </c>
      <c r="B34" s="14"/>
      <c r="C34" s="14"/>
      <c r="D34" s="14">
        <v>56093</v>
      </c>
      <c r="E34" s="14"/>
      <c r="G34" s="14">
        <v>55643</v>
      </c>
      <c r="H34" s="14"/>
      <c r="I34" s="14"/>
      <c r="J34" s="14">
        <v>55508</v>
      </c>
      <c r="K34" s="14"/>
    </row>
    <row r="35" spans="1:12" x14ac:dyDescent="0.25">
      <c r="A35" s="14"/>
      <c r="B35" s="14"/>
      <c r="C35" s="14"/>
      <c r="D35" s="14"/>
      <c r="E35" s="14"/>
      <c r="G35" s="14"/>
      <c r="H35" s="14"/>
      <c r="I35" s="14"/>
      <c r="J35" s="14"/>
      <c r="K35" s="14"/>
    </row>
    <row r="36" spans="1:12" x14ac:dyDescent="0.25">
      <c r="A36" s="14" t="s">
        <v>172</v>
      </c>
      <c r="B36" s="14"/>
      <c r="C36" s="14"/>
      <c r="D36" s="14">
        <f>SUM(D10:D34)</f>
        <v>8699715.7599999998</v>
      </c>
      <c r="E36" s="14"/>
      <c r="G36" s="14">
        <f>SUM(G10:G34)</f>
        <v>8726522.0399999991</v>
      </c>
      <c r="H36" s="14"/>
      <c r="I36" s="14"/>
      <c r="J36" s="14">
        <f>SUM(J10:J34)</f>
        <v>9291761.4299999997</v>
      </c>
      <c r="K36" s="14"/>
    </row>
    <row r="37" spans="1:12" x14ac:dyDescent="0.25">
      <c r="A37" s="14"/>
      <c r="B37" s="14"/>
      <c r="C37" s="14"/>
      <c r="D37" s="14"/>
      <c r="E37" s="14"/>
      <c r="G37" s="14"/>
      <c r="H37" s="14"/>
      <c r="I37" s="14"/>
      <c r="J37" s="14"/>
      <c r="K37" s="14"/>
    </row>
    <row r="38" spans="1:12" x14ac:dyDescent="0.25">
      <c r="A38" s="14"/>
      <c r="B38" s="14"/>
      <c r="C38" s="14"/>
      <c r="D38" s="14"/>
      <c r="E38" s="14"/>
      <c r="G38" s="14"/>
      <c r="H38" s="14"/>
      <c r="I38" s="14"/>
      <c r="J38" s="14"/>
      <c r="K38" s="14"/>
    </row>
    <row r="39" spans="1:12" x14ac:dyDescent="0.25">
      <c r="A39" s="14"/>
      <c r="B39" s="14"/>
      <c r="C39" s="14"/>
      <c r="D39" s="14"/>
      <c r="E39" s="14"/>
      <c r="G39" s="14"/>
      <c r="H39" s="14"/>
      <c r="I39" s="14"/>
      <c r="J39" s="14"/>
      <c r="K39" s="14"/>
    </row>
    <row r="40" spans="1:12" x14ac:dyDescent="0.25">
      <c r="A40" s="14"/>
      <c r="B40" s="14"/>
      <c r="C40" s="14"/>
      <c r="D40" s="14"/>
      <c r="E40" s="14"/>
      <c r="G40" s="14"/>
      <c r="H40" s="14"/>
      <c r="I40" s="14"/>
      <c r="J40" s="14"/>
      <c r="K40" s="14"/>
    </row>
    <row r="41" spans="1:12" x14ac:dyDescent="0.25">
      <c r="A41" s="14"/>
      <c r="B41" s="14"/>
      <c r="C41" s="14"/>
      <c r="D41" s="14"/>
      <c r="E41" s="14"/>
      <c r="G41" s="14"/>
      <c r="H41" s="14"/>
      <c r="I41" s="14"/>
      <c r="J41" s="14"/>
      <c r="K41" s="14"/>
    </row>
    <row r="42" spans="1:12" x14ac:dyDescent="0.25">
      <c r="A42" s="14"/>
      <c r="B42" s="14"/>
      <c r="C42" s="14"/>
      <c r="D42" s="14"/>
      <c r="E42" s="14"/>
      <c r="G42" s="14"/>
      <c r="H42" s="14"/>
      <c r="I42" s="14"/>
      <c r="J42" s="14"/>
      <c r="K42" s="14"/>
    </row>
    <row r="43" spans="1:12" x14ac:dyDescent="0.25">
      <c r="A43" s="14"/>
      <c r="B43" s="14"/>
      <c r="C43" s="14"/>
      <c r="D43" s="14"/>
      <c r="E43" s="14"/>
      <c r="G43" s="14"/>
      <c r="H43" s="14"/>
      <c r="I43" s="14"/>
      <c r="J43" s="14"/>
      <c r="K43" s="14"/>
    </row>
    <row r="44" spans="1:12" x14ac:dyDescent="0.25">
      <c r="A44" s="14"/>
      <c r="B44" s="14"/>
      <c r="C44" s="14"/>
      <c r="D44" s="14"/>
      <c r="E44" s="14"/>
      <c r="G44" s="14"/>
      <c r="H44" s="14"/>
      <c r="I44" s="14"/>
      <c r="J44" s="14"/>
      <c r="K44" s="1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8F89-8C0B-4082-BEA9-D72A22ED3C9B}">
  <sheetPr>
    <tabColor theme="9" tint="0.59999389629810485"/>
  </sheetPr>
  <dimension ref="A2:L51"/>
  <sheetViews>
    <sheetView workbookViewId="0"/>
  </sheetViews>
  <sheetFormatPr defaultRowHeight="15" x14ac:dyDescent="0.25"/>
  <cols>
    <col min="1" max="1" width="90.140625" style="21" bestFit="1" customWidth="1"/>
    <col min="2" max="3" width="9.140625" style="12"/>
    <col min="4" max="4" width="12.28515625" style="63" bestFit="1" customWidth="1"/>
    <col min="5" max="6" width="9.7109375" style="12" bestFit="1" customWidth="1"/>
    <col min="7" max="9" width="9.140625" style="12"/>
    <col min="10" max="10" width="12.28515625" style="12" bestFit="1" customWidth="1"/>
    <col min="11" max="16384" width="9.140625" style="12"/>
  </cols>
  <sheetData>
    <row r="2" spans="1:12" x14ac:dyDescent="0.25">
      <c r="A2" s="22" t="s">
        <v>108</v>
      </c>
      <c r="B2" s="11"/>
      <c r="C2" s="11"/>
      <c r="D2" s="195"/>
      <c r="E2" s="11"/>
      <c r="F2" s="11"/>
    </row>
    <row r="4" spans="1:12" x14ac:dyDescent="0.25">
      <c r="A4" s="22"/>
      <c r="B4" s="14"/>
      <c r="C4" s="14"/>
      <c r="D4" s="195" t="s">
        <v>87</v>
      </c>
      <c r="E4" s="11"/>
      <c r="F4" s="11"/>
      <c r="G4" s="11"/>
      <c r="H4" s="11"/>
      <c r="I4" s="11"/>
      <c r="J4" s="11"/>
      <c r="K4" s="11"/>
      <c r="L4" s="11"/>
    </row>
    <row r="5" spans="1:12" ht="39.950000000000003" customHeight="1" x14ac:dyDescent="0.25">
      <c r="A5" s="22"/>
      <c r="B5" s="14"/>
      <c r="C5" s="14"/>
      <c r="D5" s="196" t="s">
        <v>49</v>
      </c>
      <c r="E5" s="13"/>
      <c r="F5" s="13"/>
      <c r="G5" s="14"/>
      <c r="H5" s="14"/>
      <c r="I5" s="14"/>
      <c r="J5" s="13" t="s">
        <v>88</v>
      </c>
      <c r="K5" s="13"/>
      <c r="L5" s="13"/>
    </row>
    <row r="6" spans="1:12" x14ac:dyDescent="0.25">
      <c r="A6" s="11" t="s">
        <v>109</v>
      </c>
      <c r="B6" s="11"/>
      <c r="C6" s="11"/>
      <c r="D6" s="197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1" t="s">
        <v>101</v>
      </c>
      <c r="B7" s="11"/>
      <c r="C7" s="11"/>
      <c r="D7" s="195">
        <v>202005</v>
      </c>
      <c r="E7" s="11">
        <f>IFERROR(VLOOKUP(A7,'CF Q2-24'!A:D,4,FALSE),0)</f>
        <v>130693</v>
      </c>
      <c r="F7" s="14">
        <f>D7-E7</f>
        <v>71312</v>
      </c>
      <c r="G7" s="14"/>
      <c r="H7" s="14"/>
      <c r="I7" s="14"/>
      <c r="J7" s="11">
        <v>255666</v>
      </c>
      <c r="K7" s="11"/>
      <c r="L7" s="14"/>
    </row>
    <row r="8" spans="1:12" x14ac:dyDescent="0.25">
      <c r="A8" s="22" t="s">
        <v>110</v>
      </c>
      <c r="B8" s="11"/>
      <c r="C8" s="11"/>
      <c r="D8" s="197"/>
      <c r="E8" s="11">
        <f>IFERROR(VLOOKUP(A8,'CF Q2-24'!A:D,4,FALSE),0)</f>
        <v>0</v>
      </c>
      <c r="F8" s="14">
        <f t="shared" ref="F8:F49" si="0">D8-E8</f>
        <v>0</v>
      </c>
      <c r="G8" s="14"/>
      <c r="H8" s="14"/>
      <c r="I8" s="14"/>
      <c r="J8" s="14"/>
      <c r="K8" s="14"/>
    </row>
    <row r="9" spans="1:12" x14ac:dyDescent="0.25">
      <c r="A9" s="22" t="s">
        <v>111</v>
      </c>
      <c r="B9" s="11"/>
      <c r="C9" s="11"/>
      <c r="D9" s="195">
        <v>60288</v>
      </c>
      <c r="E9" s="11">
        <f>IFERROR(VLOOKUP(A9,'CF Q2-24'!A:D,4,FALSE),0)</f>
        <v>40372</v>
      </c>
      <c r="F9" s="14">
        <f t="shared" si="0"/>
        <v>19916</v>
      </c>
      <c r="G9" s="14"/>
      <c r="H9" s="14"/>
      <c r="I9" s="14"/>
      <c r="J9" s="11">
        <v>56122</v>
      </c>
      <c r="K9" s="11"/>
    </row>
    <row r="10" spans="1:12" x14ac:dyDescent="0.25">
      <c r="A10" s="22" t="s">
        <v>112</v>
      </c>
      <c r="B10" s="11"/>
      <c r="C10" s="11"/>
      <c r="D10" s="195">
        <v>1437</v>
      </c>
      <c r="E10" s="11">
        <f>IFERROR(VLOOKUP(A10,'CF Q2-24'!A:D,4,FALSE),0)</f>
        <v>703</v>
      </c>
      <c r="F10" s="14">
        <f t="shared" si="0"/>
        <v>734</v>
      </c>
      <c r="G10" s="14"/>
      <c r="H10" s="14"/>
      <c r="I10" s="14"/>
      <c r="J10" s="11">
        <v>784</v>
      </c>
      <c r="K10" s="11"/>
    </row>
    <row r="11" spans="1:12" x14ac:dyDescent="0.25">
      <c r="A11" s="22" t="s">
        <v>113</v>
      </c>
      <c r="B11" s="11"/>
      <c r="C11" s="11"/>
      <c r="D11" s="195">
        <v>16679</v>
      </c>
      <c r="E11" s="11">
        <f>IFERROR(VLOOKUP(A11,'CF Q2-24'!A:D,4,FALSE),0)</f>
        <v>11020</v>
      </c>
      <c r="F11" s="14">
        <f t="shared" si="0"/>
        <v>5659</v>
      </c>
      <c r="G11" s="14"/>
      <c r="H11" s="14"/>
      <c r="I11" s="14"/>
      <c r="J11" s="11">
        <v>14831</v>
      </c>
      <c r="K11" s="11"/>
    </row>
    <row r="12" spans="1:12" x14ac:dyDescent="0.25">
      <c r="A12" s="22" t="s">
        <v>114</v>
      </c>
      <c r="B12" s="11"/>
      <c r="C12" s="11"/>
      <c r="D12" s="195">
        <v>13347</v>
      </c>
      <c r="E12" s="11">
        <f>IFERROR(VLOOKUP(A12,'CF Q2-24'!A:D,4,FALSE),0)</f>
        <v>9889</v>
      </c>
      <c r="F12" s="14">
        <f t="shared" si="0"/>
        <v>3458</v>
      </c>
      <c r="G12" s="14"/>
      <c r="H12" s="14"/>
      <c r="I12" s="14"/>
      <c r="J12" s="11">
        <v>14624</v>
      </c>
      <c r="K12" s="11"/>
    </row>
    <row r="13" spans="1:12" x14ac:dyDescent="0.25">
      <c r="A13" s="22" t="s">
        <v>115</v>
      </c>
      <c r="B13" s="11"/>
      <c r="C13" s="11"/>
      <c r="D13" s="195">
        <v>363</v>
      </c>
      <c r="E13" s="11">
        <f>IFERROR(VLOOKUP(A13,'CF Q2-24'!A:D,4,FALSE),0)</f>
        <v>236</v>
      </c>
      <c r="F13" s="14">
        <f t="shared" si="0"/>
        <v>127</v>
      </c>
      <c r="G13" s="14"/>
      <c r="H13" s="14"/>
      <c r="I13" s="14"/>
      <c r="J13" s="11">
        <v>481</v>
      </c>
      <c r="K13" s="11"/>
    </row>
    <row r="14" spans="1:12" x14ac:dyDescent="0.25">
      <c r="A14" s="22" t="s">
        <v>116</v>
      </c>
      <c r="B14" s="11"/>
      <c r="C14" s="11"/>
      <c r="D14" s="195">
        <v>661</v>
      </c>
      <c r="E14" s="11">
        <f>IFERROR(VLOOKUP(A14,'CF Q2-24'!A:D,4,FALSE),0)</f>
        <v>441</v>
      </c>
      <c r="F14" s="14">
        <f t="shared" si="0"/>
        <v>220</v>
      </c>
      <c r="G14" s="14"/>
      <c r="H14" s="14"/>
      <c r="I14" s="14"/>
      <c r="J14" s="11" t="s">
        <v>78</v>
      </c>
      <c r="K14" s="11"/>
    </row>
    <row r="15" spans="1:12" x14ac:dyDescent="0.25">
      <c r="A15" s="22" t="s">
        <v>117</v>
      </c>
      <c r="B15" s="11"/>
      <c r="C15" s="11"/>
      <c r="D15" s="195">
        <v>5180</v>
      </c>
      <c r="E15" s="11">
        <f>IFERROR(VLOOKUP(A15,'CF Q2-24'!A:D,4,FALSE),0)</f>
        <v>2354</v>
      </c>
      <c r="F15" s="14">
        <f t="shared" si="0"/>
        <v>2826</v>
      </c>
      <c r="G15" s="14"/>
      <c r="H15" s="14"/>
      <c r="I15" s="14"/>
      <c r="J15" s="11">
        <v>6826</v>
      </c>
      <c r="K15" s="11"/>
    </row>
    <row r="16" spans="1:12" x14ac:dyDescent="0.25">
      <c r="A16" s="22" t="s">
        <v>118</v>
      </c>
      <c r="B16" s="11"/>
      <c r="C16" s="11"/>
      <c r="D16" s="195">
        <v>-17161</v>
      </c>
      <c r="E16" s="11">
        <f>IFERROR(VLOOKUP(A16,'CF Q2-24'!A:D,4,FALSE),0)</f>
        <v>-6298</v>
      </c>
      <c r="F16" s="14">
        <f t="shared" si="0"/>
        <v>-10863</v>
      </c>
      <c r="G16" s="14"/>
      <c r="H16" s="14"/>
      <c r="I16" s="14"/>
      <c r="J16" s="11">
        <v>-1146</v>
      </c>
      <c r="K16" s="11"/>
    </row>
    <row r="17" spans="1:12" x14ac:dyDescent="0.25">
      <c r="A17" s="22" t="s">
        <v>73</v>
      </c>
      <c r="B17" s="11"/>
      <c r="C17" s="11"/>
      <c r="D17" s="195">
        <v>-1072</v>
      </c>
      <c r="E17" s="11">
        <f>IFERROR(VLOOKUP(A17,'CF Q2-24'!A:D,4,FALSE),0)</f>
        <v>0</v>
      </c>
      <c r="F17" s="14">
        <f t="shared" si="0"/>
        <v>-1072</v>
      </c>
      <c r="G17" s="14"/>
      <c r="H17" s="14"/>
      <c r="I17" s="14"/>
      <c r="J17" s="11">
        <v>-915</v>
      </c>
      <c r="K17" s="11"/>
    </row>
    <row r="18" spans="1:12" x14ac:dyDescent="0.25">
      <c r="A18" s="22" t="s">
        <v>119</v>
      </c>
      <c r="B18" s="11"/>
      <c r="C18" s="11"/>
      <c r="D18" s="197"/>
      <c r="E18" s="11">
        <f>IFERROR(VLOOKUP(A18,'CF Q2-24'!A:D,4,FALSE),0)</f>
        <v>0</v>
      </c>
      <c r="F18" s="14">
        <f t="shared" si="0"/>
        <v>0</v>
      </c>
      <c r="G18" s="14"/>
      <c r="H18" s="14"/>
      <c r="I18" s="14"/>
      <c r="J18" s="14"/>
      <c r="K18" s="14"/>
    </row>
    <row r="19" spans="1:12" x14ac:dyDescent="0.25">
      <c r="A19" s="22" t="s">
        <v>120</v>
      </c>
      <c r="B19" s="11"/>
      <c r="C19" s="11"/>
      <c r="D19" s="195">
        <v>12586</v>
      </c>
      <c r="E19" s="11">
        <f>IFERROR(VLOOKUP(A19,'CF Q2-24'!A:D,4,FALSE),0)</f>
        <v>6468</v>
      </c>
      <c r="F19" s="14">
        <f t="shared" si="0"/>
        <v>6118</v>
      </c>
      <c r="G19" s="14"/>
      <c r="H19" s="14"/>
      <c r="I19" s="14"/>
      <c r="J19" s="11">
        <v>247557</v>
      </c>
      <c r="K19" s="11"/>
      <c r="L19" s="14"/>
    </row>
    <row r="20" spans="1:12" x14ac:dyDescent="0.25">
      <c r="A20" s="22" t="s">
        <v>55</v>
      </c>
      <c r="B20" s="11"/>
      <c r="C20" s="11"/>
      <c r="D20" s="195">
        <v>64251</v>
      </c>
      <c r="E20" s="11">
        <f>IFERROR(VLOOKUP(A20,'CF Q2-24'!A:D,4,FALSE),0)</f>
        <v>44476</v>
      </c>
      <c r="F20" s="14">
        <f t="shared" si="0"/>
        <v>19775</v>
      </c>
      <c r="G20" s="14"/>
      <c r="H20" s="14"/>
      <c r="I20" s="14"/>
      <c r="J20" s="11">
        <v>-6255</v>
      </c>
      <c r="K20" s="11"/>
      <c r="L20" s="14"/>
    </row>
    <row r="21" spans="1:12" x14ac:dyDescent="0.25">
      <c r="A21" s="22" t="s">
        <v>56</v>
      </c>
      <c r="B21" s="11"/>
      <c r="C21" s="11"/>
      <c r="D21" s="195">
        <v>4488</v>
      </c>
      <c r="E21" s="11">
        <f>IFERROR(VLOOKUP(A21,'CF Q2-24'!A:D,4,FALSE),0)</f>
        <v>-22714</v>
      </c>
      <c r="F21" s="14">
        <f t="shared" si="0"/>
        <v>27202</v>
      </c>
      <c r="G21" s="14"/>
      <c r="H21" s="14"/>
      <c r="I21" s="14"/>
      <c r="J21" s="11">
        <v>5917</v>
      </c>
      <c r="K21" s="11"/>
    </row>
    <row r="22" spans="1:12" x14ac:dyDescent="0.25">
      <c r="A22" s="22" t="s">
        <v>121</v>
      </c>
      <c r="B22" s="11"/>
      <c r="C22" s="11"/>
      <c r="D22" s="195">
        <v>-16974</v>
      </c>
      <c r="E22" s="11">
        <f>IFERROR(VLOOKUP(A22,'CF Q2-24'!A:D,4,FALSE),0)</f>
        <v>-11234</v>
      </c>
      <c r="F22" s="14">
        <f t="shared" si="0"/>
        <v>-5740</v>
      </c>
      <c r="G22" s="14"/>
      <c r="H22" s="14"/>
      <c r="I22" s="14"/>
      <c r="J22" s="11">
        <v>-14845</v>
      </c>
      <c r="K22" s="11"/>
    </row>
    <row r="23" spans="1:12" x14ac:dyDescent="0.25">
      <c r="A23" s="22" t="s">
        <v>62</v>
      </c>
      <c r="B23" s="11"/>
      <c r="C23" s="11"/>
      <c r="D23" s="195">
        <v>3272</v>
      </c>
      <c r="E23" s="11">
        <f>IFERROR(VLOOKUP(A23,'CF Q2-24'!A:D,4,FALSE),0)</f>
        <v>2813</v>
      </c>
      <c r="F23" s="14">
        <f t="shared" si="0"/>
        <v>459</v>
      </c>
      <c r="G23" s="14"/>
      <c r="H23" s="14"/>
      <c r="I23" s="14"/>
      <c r="J23" s="11">
        <v>-211</v>
      </c>
      <c r="K23" s="11"/>
    </row>
    <row r="24" spans="1:12" x14ac:dyDescent="0.25">
      <c r="A24" s="22" t="s">
        <v>122</v>
      </c>
      <c r="B24" s="11"/>
      <c r="C24" s="11"/>
      <c r="D24" s="195">
        <v>-45917</v>
      </c>
      <c r="E24" s="11">
        <f>IFERROR(VLOOKUP(A24,'CF Q2-24'!A:D,4,FALSE),0)</f>
        <v>-49308</v>
      </c>
      <c r="F24" s="14">
        <f t="shared" si="0"/>
        <v>3391</v>
      </c>
      <c r="G24" s="14"/>
      <c r="H24" s="14"/>
      <c r="I24" s="14"/>
      <c r="J24" s="11">
        <v>-12359</v>
      </c>
      <c r="K24" s="11"/>
    </row>
    <row r="25" spans="1:12" x14ac:dyDescent="0.25">
      <c r="A25" s="11" t="s">
        <v>123</v>
      </c>
      <c r="B25" s="11"/>
      <c r="C25" s="11"/>
      <c r="D25" s="195">
        <v>101428</v>
      </c>
      <c r="E25" s="11">
        <f>IFERROR(VLOOKUP(A25,'CF Q2-24'!A:D,4,FALSE),0)</f>
        <v>29218</v>
      </c>
      <c r="F25" s="14">
        <f t="shared" si="0"/>
        <v>72210</v>
      </c>
      <c r="G25" s="14"/>
      <c r="H25" s="14"/>
      <c r="I25" s="14"/>
      <c r="J25" s="11">
        <v>311411</v>
      </c>
      <c r="K25" s="11"/>
    </row>
    <row r="26" spans="1:12" x14ac:dyDescent="0.25">
      <c r="A26" s="11" t="s">
        <v>124</v>
      </c>
      <c r="B26" s="11"/>
      <c r="C26" s="11"/>
      <c r="D26" s="195">
        <v>303433</v>
      </c>
      <c r="E26" s="11">
        <f>IFERROR(VLOOKUP(A26,'CF Q2-24'!A:D,4,FALSE),0)</f>
        <v>159911</v>
      </c>
      <c r="F26" s="14">
        <f t="shared" si="0"/>
        <v>143522</v>
      </c>
      <c r="G26" s="14"/>
      <c r="H26" s="14"/>
      <c r="I26" s="14"/>
      <c r="J26" s="11">
        <v>567077</v>
      </c>
      <c r="K26" s="11"/>
    </row>
    <row r="27" spans="1:12" x14ac:dyDescent="0.25">
      <c r="A27" s="11" t="s">
        <v>125</v>
      </c>
      <c r="B27" s="11"/>
      <c r="C27" s="11"/>
      <c r="D27" s="197"/>
      <c r="E27" s="11">
        <f>IFERROR(VLOOKUP(A27,'CF Q2-24'!A:D,4,FALSE),0)</f>
        <v>0</v>
      </c>
      <c r="F27" s="14">
        <f t="shared" si="0"/>
        <v>0</v>
      </c>
      <c r="G27" s="14"/>
      <c r="H27" s="14"/>
      <c r="I27" s="14"/>
      <c r="J27" s="14"/>
      <c r="K27" s="14"/>
    </row>
    <row r="28" spans="1:12" x14ac:dyDescent="0.25">
      <c r="A28" s="22" t="s">
        <v>126</v>
      </c>
      <c r="B28" s="11"/>
      <c r="C28" s="11"/>
      <c r="D28" s="195">
        <v>-73354</v>
      </c>
      <c r="E28" s="11">
        <f>IFERROR(VLOOKUP(A28,'CF Q2-24'!A:D,4,FALSE),0)</f>
        <v>-43783</v>
      </c>
      <c r="F28" s="14">
        <f t="shared" si="0"/>
        <v>-29571</v>
      </c>
      <c r="G28" s="14"/>
      <c r="H28" s="14"/>
      <c r="I28" s="14"/>
      <c r="J28" s="11">
        <v>-64113</v>
      </c>
      <c r="K28" s="11"/>
    </row>
    <row r="29" spans="1:12" x14ac:dyDescent="0.25">
      <c r="A29" s="22" t="s">
        <v>148</v>
      </c>
      <c r="B29" s="11"/>
      <c r="C29" s="11"/>
      <c r="D29" s="195">
        <v>-9859</v>
      </c>
      <c r="E29" s="11">
        <f>IFERROR(VLOOKUP(A29,'CF Q2-24'!A:D,4,FALSE),0)</f>
        <v>-9868</v>
      </c>
      <c r="F29" s="14">
        <f t="shared" si="0"/>
        <v>9</v>
      </c>
      <c r="G29" s="14"/>
      <c r="H29" s="14"/>
      <c r="I29" s="14"/>
      <c r="J29" s="11">
        <v>-20182</v>
      </c>
      <c r="K29" s="11"/>
    </row>
    <row r="30" spans="1:12" x14ac:dyDescent="0.25">
      <c r="A30" s="11" t="s">
        <v>127</v>
      </c>
      <c r="B30" s="11"/>
      <c r="C30" s="11"/>
      <c r="D30" s="195">
        <v>-83213</v>
      </c>
      <c r="E30" s="11">
        <f>IFERROR(VLOOKUP(A30,'CF Q2-24'!A:D,4,FALSE),0)</f>
        <v>-53651</v>
      </c>
      <c r="F30" s="14">
        <f t="shared" si="0"/>
        <v>-29562</v>
      </c>
      <c r="G30" s="14"/>
      <c r="H30" s="14"/>
      <c r="I30" s="14"/>
      <c r="J30" s="11">
        <v>-84295</v>
      </c>
      <c r="K30" s="11"/>
      <c r="L30" s="14"/>
    </row>
    <row r="31" spans="1:12" x14ac:dyDescent="0.25">
      <c r="A31" s="11" t="s">
        <v>128</v>
      </c>
      <c r="B31" s="11"/>
      <c r="C31" s="11"/>
      <c r="D31" s="197"/>
      <c r="E31" s="11">
        <f>IFERROR(VLOOKUP(A31,'CF Q2-24'!A:D,4,FALSE),0)</f>
        <v>0</v>
      </c>
      <c r="F31" s="14">
        <f t="shared" si="0"/>
        <v>0</v>
      </c>
      <c r="G31" s="14"/>
      <c r="H31" s="14"/>
      <c r="I31" s="14"/>
      <c r="J31" s="14"/>
      <c r="K31" s="14"/>
      <c r="L31" s="14"/>
    </row>
    <row r="32" spans="1:12" x14ac:dyDescent="0.25">
      <c r="A32" s="22" t="s">
        <v>181</v>
      </c>
      <c r="B32" s="11"/>
      <c r="C32" s="11"/>
      <c r="D32" s="195">
        <v>-167166</v>
      </c>
      <c r="E32" s="11">
        <f>IFERROR(VLOOKUP(A32,'CF Q2-24'!A:D,4,FALSE),0)</f>
        <v>-148677</v>
      </c>
      <c r="F32" s="14">
        <f t="shared" si="0"/>
        <v>-18489</v>
      </c>
      <c r="G32" s="14"/>
      <c r="H32" s="14"/>
      <c r="I32" s="14"/>
      <c r="J32" s="11">
        <v>-31072</v>
      </c>
      <c r="K32" s="11"/>
      <c r="L32" s="14"/>
    </row>
    <row r="33" spans="1:11" x14ac:dyDescent="0.25">
      <c r="A33" s="22" t="s">
        <v>129</v>
      </c>
      <c r="B33" s="11"/>
      <c r="C33" s="11"/>
      <c r="D33" s="195">
        <v>-140695</v>
      </c>
      <c r="E33" s="11">
        <f>IFERROR(VLOOKUP(A33,'CF Q2-24'!A:D,4,FALSE),0)</f>
        <v>-93964</v>
      </c>
      <c r="F33" s="14">
        <f t="shared" si="0"/>
        <v>-46731</v>
      </c>
      <c r="G33" s="14"/>
      <c r="H33" s="14"/>
      <c r="I33" s="14"/>
      <c r="J33" s="11">
        <v>-132484</v>
      </c>
      <c r="K33" s="11"/>
    </row>
    <row r="34" spans="1:11" x14ac:dyDescent="0.25">
      <c r="A34" s="22" t="s">
        <v>182</v>
      </c>
      <c r="B34" s="11"/>
      <c r="C34" s="11"/>
      <c r="D34" s="195">
        <v>3465</v>
      </c>
      <c r="E34" s="11">
        <f>IFERROR(VLOOKUP(A34,'CF Q2-24'!A:D,4,FALSE),0)</f>
        <v>2327</v>
      </c>
      <c r="F34" s="14">
        <f t="shared" si="0"/>
        <v>1138</v>
      </c>
      <c r="G34" s="14"/>
      <c r="H34" s="14"/>
      <c r="I34" s="14"/>
      <c r="J34" s="11">
        <v>3449</v>
      </c>
      <c r="K34" s="11"/>
    </row>
    <row r="35" spans="1:11" x14ac:dyDescent="0.25">
      <c r="A35" s="22" t="s">
        <v>183</v>
      </c>
      <c r="B35" s="11"/>
      <c r="C35" s="11"/>
      <c r="D35" s="195">
        <v>8833</v>
      </c>
      <c r="E35" s="11">
        <f>IFERROR(VLOOKUP(A35,'CF Q2-24'!A:D,4,FALSE),0)</f>
        <v>8251</v>
      </c>
      <c r="F35" s="14">
        <f t="shared" si="0"/>
        <v>582</v>
      </c>
      <c r="G35" s="14"/>
      <c r="H35" s="14"/>
      <c r="I35" s="14"/>
      <c r="J35" s="11">
        <v>22635</v>
      </c>
      <c r="K35" s="11"/>
    </row>
    <row r="36" spans="1:11" x14ac:dyDescent="0.25">
      <c r="A36" s="22" t="s">
        <v>130</v>
      </c>
      <c r="B36" s="11"/>
      <c r="C36" s="11"/>
      <c r="D36" s="195">
        <v>359000</v>
      </c>
      <c r="E36" s="11">
        <f>IFERROR(VLOOKUP(A36,'CF Q2-24'!A:D,4,FALSE),0)</f>
        <v>297000</v>
      </c>
      <c r="F36" s="14">
        <f t="shared" si="0"/>
        <v>62000</v>
      </c>
      <c r="G36" s="14"/>
      <c r="H36" s="14"/>
      <c r="I36" s="14"/>
      <c r="J36" s="11">
        <v>208000</v>
      </c>
      <c r="K36" s="11"/>
    </row>
    <row r="37" spans="1:11" x14ac:dyDescent="0.25">
      <c r="A37" s="22" t="s">
        <v>131</v>
      </c>
      <c r="B37" s="11"/>
      <c r="C37" s="11"/>
      <c r="D37" s="195">
        <v>-309000</v>
      </c>
      <c r="E37" s="11">
        <f>IFERROR(VLOOKUP(A37,'CF Q2-24'!A:D,4,FALSE),0)</f>
        <v>-202000</v>
      </c>
      <c r="F37" s="14">
        <f t="shared" si="0"/>
        <v>-107000</v>
      </c>
      <c r="G37" s="14"/>
      <c r="H37" s="14"/>
      <c r="I37" s="14"/>
      <c r="J37" s="11">
        <v>-488000</v>
      </c>
      <c r="K37" s="11"/>
    </row>
    <row r="38" spans="1:11" x14ac:dyDescent="0.25">
      <c r="A38" s="22" t="s">
        <v>132</v>
      </c>
      <c r="B38" s="11"/>
      <c r="C38" s="11"/>
      <c r="D38" s="195">
        <v>3850</v>
      </c>
      <c r="E38" s="11">
        <f>IFERROR(VLOOKUP(A38,'CF Q2-24'!A:D,4,FALSE),0)</f>
        <v>3850</v>
      </c>
      <c r="F38" s="14">
        <f t="shared" si="0"/>
        <v>0</v>
      </c>
      <c r="G38" s="14"/>
      <c r="H38" s="14"/>
      <c r="I38" s="14"/>
      <c r="J38" s="11">
        <v>1061</v>
      </c>
      <c r="K38" s="11"/>
    </row>
    <row r="39" spans="1:11" x14ac:dyDescent="0.25">
      <c r="A39" s="22" t="s">
        <v>133</v>
      </c>
      <c r="B39" s="11"/>
      <c r="C39" s="11"/>
      <c r="D39" s="195">
        <v>-50000</v>
      </c>
      <c r="E39" s="11">
        <v>0</v>
      </c>
      <c r="F39" s="14">
        <f t="shared" si="0"/>
        <v>-50000</v>
      </c>
      <c r="G39" s="14"/>
      <c r="H39" s="14"/>
      <c r="I39" s="14"/>
      <c r="J39" s="11">
        <v>-50000</v>
      </c>
      <c r="K39" s="11"/>
    </row>
    <row r="40" spans="1:11" x14ac:dyDescent="0.25">
      <c r="A40" s="22" t="s">
        <v>134</v>
      </c>
      <c r="B40" s="11"/>
      <c r="C40" s="11"/>
      <c r="D40" s="195">
        <v>50000</v>
      </c>
      <c r="E40" s="11">
        <f>IFERROR(VLOOKUP(A40,'CF Q2-24'!A:D,4,FALSE),0)</f>
        <v>0</v>
      </c>
      <c r="F40" s="14">
        <f t="shared" si="0"/>
        <v>50000</v>
      </c>
      <c r="G40" s="14"/>
      <c r="H40" s="14"/>
      <c r="I40" s="14"/>
      <c r="J40" s="11" t="s">
        <v>78</v>
      </c>
      <c r="K40" s="11"/>
    </row>
    <row r="41" spans="1:11" x14ac:dyDescent="0.25">
      <c r="A41" s="22" t="s">
        <v>135</v>
      </c>
      <c r="B41" s="11"/>
      <c r="C41" s="11"/>
      <c r="D41" s="195">
        <v>-2762</v>
      </c>
      <c r="E41" s="11">
        <f>IFERROR(VLOOKUP(A41,'CF Q2-24'!A:D,4,FALSE),0)</f>
        <v>-1064</v>
      </c>
      <c r="F41" s="14">
        <f t="shared" si="0"/>
        <v>-1698</v>
      </c>
      <c r="G41" s="14"/>
      <c r="H41" s="14"/>
      <c r="I41" s="14"/>
      <c r="J41" s="11">
        <v>-1676</v>
      </c>
      <c r="K41" s="11"/>
    </row>
    <row r="42" spans="1:11" x14ac:dyDescent="0.25">
      <c r="A42" s="11" t="s">
        <v>136</v>
      </c>
      <c r="B42" s="11"/>
      <c r="C42" s="11"/>
      <c r="D42" s="195">
        <v>-244475</v>
      </c>
      <c r="E42" s="11">
        <f>IFERROR(VLOOKUP(A42,'CF Q2-24'!A:D,4,FALSE),0)</f>
        <v>-134277</v>
      </c>
      <c r="F42" s="14">
        <f t="shared" si="0"/>
        <v>-110198</v>
      </c>
      <c r="G42" s="14"/>
      <c r="H42" s="14"/>
      <c r="I42" s="14"/>
      <c r="J42" s="11">
        <v>-468087</v>
      </c>
      <c r="K42" s="11"/>
    </row>
    <row r="43" spans="1:11" x14ac:dyDescent="0.25">
      <c r="A43" s="22" t="s">
        <v>137</v>
      </c>
      <c r="B43" s="11"/>
      <c r="C43" s="11"/>
      <c r="D43" s="195">
        <v>131</v>
      </c>
      <c r="E43" s="11">
        <f>IFERROR(VLOOKUP(A43,'CF Q2-24'!A:D,4,FALSE),0)</f>
        <v>192</v>
      </c>
      <c r="F43" s="14">
        <f t="shared" si="0"/>
        <v>-61</v>
      </c>
      <c r="G43" s="14"/>
      <c r="H43" s="14"/>
      <c r="I43" s="14"/>
      <c r="J43" s="11">
        <v>196</v>
      </c>
      <c r="K43" s="11"/>
    </row>
    <row r="44" spans="1:11" x14ac:dyDescent="0.25">
      <c r="A44" s="21" t="s">
        <v>185</v>
      </c>
      <c r="B44" s="15"/>
      <c r="C44" s="15"/>
      <c r="D44" s="69">
        <v>-24124</v>
      </c>
      <c r="E44" s="11">
        <f>IFERROR(VLOOKUP(A44,'CF Q2-24'!A:D,4,FALSE),0)</f>
        <v>-27825</v>
      </c>
      <c r="F44" s="14">
        <f t="shared" si="0"/>
        <v>3701</v>
      </c>
      <c r="J44" s="15">
        <v>14891</v>
      </c>
      <c r="K44" s="15"/>
    </row>
    <row r="45" spans="1:11" x14ac:dyDescent="0.25">
      <c r="A45" s="21" t="s">
        <v>138</v>
      </c>
      <c r="B45" s="15"/>
      <c r="C45" s="15"/>
      <c r="D45" s="69">
        <v>50052</v>
      </c>
      <c r="E45" s="11">
        <f>IFERROR(VLOOKUP(A45,'CF Q2-24'!A:D,4,FALSE),0)</f>
        <v>50052</v>
      </c>
      <c r="F45" s="14">
        <f>E46</f>
        <v>22227</v>
      </c>
      <c r="J45" s="15">
        <v>43537</v>
      </c>
      <c r="K45" s="15"/>
    </row>
    <row r="46" spans="1:11" x14ac:dyDescent="0.25">
      <c r="A46" s="21" t="s">
        <v>139</v>
      </c>
      <c r="B46" s="15"/>
      <c r="C46" s="15"/>
      <c r="D46" s="69">
        <v>25928</v>
      </c>
      <c r="E46" s="11">
        <f>IFERROR(VLOOKUP(A46,'CF Q2-24'!A:D,4,FALSE),0)</f>
        <v>22227</v>
      </c>
      <c r="F46" s="14">
        <f>D46</f>
        <v>25928</v>
      </c>
      <c r="J46" s="15">
        <v>58428</v>
      </c>
      <c r="K46" s="15"/>
    </row>
    <row r="47" spans="1:11" x14ac:dyDescent="0.25">
      <c r="A47" s="21" t="s">
        <v>140</v>
      </c>
      <c r="B47" s="15"/>
      <c r="C47" s="15"/>
      <c r="E47" s="11">
        <f>IFERROR(VLOOKUP(A47,'CF Q2-24'!A:D,4,FALSE),0)</f>
        <v>0</v>
      </c>
      <c r="F47" s="14">
        <f t="shared" si="0"/>
        <v>0</v>
      </c>
    </row>
    <row r="48" spans="1:11" x14ac:dyDescent="0.25">
      <c r="A48" s="21" t="s">
        <v>141</v>
      </c>
      <c r="B48" s="15"/>
      <c r="C48" s="15"/>
      <c r="D48" s="69">
        <v>66071</v>
      </c>
      <c r="E48" s="11">
        <f>IFERROR(VLOOKUP(A48,'CF Q2-24'!A:D,4,FALSE),0)</f>
        <v>55743</v>
      </c>
      <c r="F48" s="14">
        <f t="shared" si="0"/>
        <v>10328</v>
      </c>
      <c r="J48" s="15">
        <v>85525</v>
      </c>
      <c r="K48" s="15"/>
    </row>
    <row r="49" spans="1:11" x14ac:dyDescent="0.25">
      <c r="A49" s="21" t="s">
        <v>142</v>
      </c>
      <c r="B49" s="15"/>
      <c r="C49" s="15"/>
      <c r="D49" s="69">
        <v>18235</v>
      </c>
      <c r="E49" s="11">
        <f>IFERROR(VLOOKUP(A49,'CF Q2-24'!A:D,4,FALSE),0)</f>
        <v>11996</v>
      </c>
      <c r="F49" s="14">
        <f t="shared" si="0"/>
        <v>6239</v>
      </c>
      <c r="J49" s="15">
        <v>16970</v>
      </c>
      <c r="K49" s="15"/>
    </row>
    <row r="51" spans="1:11" x14ac:dyDescent="0.25">
      <c r="D51" s="63">
        <f>SUM(D7:D49)</f>
        <v>189211</v>
      </c>
      <c r="E51" s="12">
        <f>SUM(E7:E49)</f>
        <v>85569</v>
      </c>
      <c r="F51" s="12">
        <f>SUM(F7:F49)</f>
        <v>148096</v>
      </c>
      <c r="J51" s="12">
        <f>SUM(J11:J49)</f>
        <v>247776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1395-9FFD-4019-BB50-9690DD536F03}">
  <sheetPr>
    <tabColor theme="9" tint="0.59999389629810485"/>
  </sheetPr>
  <dimension ref="A2:L49"/>
  <sheetViews>
    <sheetView workbookViewId="0"/>
  </sheetViews>
  <sheetFormatPr defaultRowHeight="15" x14ac:dyDescent="0.25"/>
  <cols>
    <col min="1" max="1" width="90.42578125" style="12" bestFit="1" customWidth="1"/>
    <col min="2" max="3" width="9.140625" style="12"/>
    <col min="4" max="4" width="12.28515625" style="12" bestFit="1" customWidth="1"/>
    <col min="5" max="6" width="9.7109375" style="12" bestFit="1" customWidth="1"/>
    <col min="7" max="9" width="9.140625" style="12"/>
    <col min="10" max="10" width="12.28515625" style="12" bestFit="1" customWidth="1"/>
    <col min="11" max="16384" width="9.140625" style="12"/>
  </cols>
  <sheetData>
    <row r="2" spans="1:12" x14ac:dyDescent="0.25">
      <c r="A2" s="11" t="s">
        <v>108</v>
      </c>
      <c r="B2" s="11"/>
      <c r="C2" s="11"/>
      <c r="D2" s="11"/>
      <c r="E2" s="11"/>
      <c r="F2" s="11"/>
    </row>
    <row r="4" spans="1:12" x14ac:dyDescent="0.25">
      <c r="A4" s="14"/>
      <c r="B4" s="14"/>
      <c r="C4" s="14"/>
      <c r="D4" s="11" t="s">
        <v>144</v>
      </c>
      <c r="E4" s="11"/>
      <c r="F4" s="11"/>
      <c r="G4" s="11"/>
      <c r="H4" s="11"/>
      <c r="I4" s="11"/>
      <c r="J4" s="11"/>
      <c r="K4" s="11"/>
      <c r="L4" s="11"/>
    </row>
    <row r="5" spans="1:12" ht="39.950000000000003" customHeight="1" x14ac:dyDescent="0.25">
      <c r="A5" s="14"/>
      <c r="B5" s="14"/>
      <c r="C5" s="14"/>
      <c r="D5" s="13" t="s">
        <v>143</v>
      </c>
      <c r="E5" s="13"/>
      <c r="F5" s="13"/>
      <c r="G5" s="14"/>
      <c r="H5" s="14"/>
      <c r="I5" s="14"/>
      <c r="J5" s="13" t="s">
        <v>145</v>
      </c>
      <c r="K5" s="13"/>
      <c r="L5" s="13"/>
    </row>
    <row r="6" spans="1:12" x14ac:dyDescent="0.25">
      <c r="A6" s="11" t="s">
        <v>109</v>
      </c>
      <c r="B6" s="11"/>
      <c r="C6" s="11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1" t="s">
        <v>101</v>
      </c>
      <c r="B7" s="11"/>
      <c r="C7" s="11"/>
      <c r="D7" s="11">
        <v>130693</v>
      </c>
      <c r="E7" s="11">
        <f>IFERROR(VLOOKUP(A7,'CF Q1-24'!A:D,4,FALSE),0)</f>
        <v>69128</v>
      </c>
      <c r="F7" s="14">
        <f>D7-E7</f>
        <v>61565</v>
      </c>
      <c r="G7" s="14"/>
      <c r="H7" s="14"/>
      <c r="I7" s="14"/>
      <c r="J7" s="11">
        <v>160527</v>
      </c>
      <c r="K7" s="11"/>
      <c r="L7" s="14"/>
    </row>
    <row r="8" spans="1:12" x14ac:dyDescent="0.25">
      <c r="A8" s="11" t="s">
        <v>110</v>
      </c>
      <c r="B8" s="11"/>
      <c r="C8" s="11"/>
      <c r="D8" s="14"/>
      <c r="E8" s="11">
        <f>IFERROR(VLOOKUP(A8,'CF Q1-24'!A:D,4,FALSE),0)</f>
        <v>0</v>
      </c>
      <c r="F8" s="14">
        <f t="shared" ref="F8:F47" si="0">D8-E8</f>
        <v>0</v>
      </c>
      <c r="G8" s="14"/>
      <c r="H8" s="14"/>
      <c r="I8" s="14"/>
      <c r="J8" s="14"/>
      <c r="K8" s="14"/>
    </row>
    <row r="9" spans="1:12" x14ac:dyDescent="0.25">
      <c r="A9" s="11" t="s">
        <v>111</v>
      </c>
      <c r="B9" s="11"/>
      <c r="C9" s="11"/>
      <c r="D9" s="11">
        <v>40372</v>
      </c>
      <c r="E9" s="11">
        <f>IFERROR(VLOOKUP(A9,'CF Q1-24'!A:D,4,FALSE),0)</f>
        <v>19782</v>
      </c>
      <c r="F9" s="14">
        <f t="shared" si="0"/>
        <v>20590</v>
      </c>
      <c r="G9" s="14"/>
      <c r="H9" s="14"/>
      <c r="I9" s="14"/>
      <c r="J9" s="11">
        <v>37223</v>
      </c>
      <c r="K9" s="11"/>
    </row>
    <row r="10" spans="1:12" x14ac:dyDescent="0.25">
      <c r="A10" s="11" t="s">
        <v>112</v>
      </c>
      <c r="B10" s="11"/>
      <c r="C10" s="11"/>
      <c r="D10" s="11">
        <v>703</v>
      </c>
      <c r="E10" s="11">
        <f>IFERROR(VLOOKUP(A10,'CF Q1-24'!A:D,4,FALSE),0)</f>
        <v>0</v>
      </c>
      <c r="F10" s="14">
        <f t="shared" si="0"/>
        <v>703</v>
      </c>
      <c r="G10" s="14"/>
      <c r="H10" s="14"/>
      <c r="I10" s="14"/>
      <c r="J10" s="11">
        <v>468</v>
      </c>
      <c r="K10" s="11"/>
    </row>
    <row r="11" spans="1:12" x14ac:dyDescent="0.25">
      <c r="A11" s="11" t="s">
        <v>113</v>
      </c>
      <c r="B11" s="11"/>
      <c r="C11" s="11"/>
      <c r="D11" s="11">
        <v>11020</v>
      </c>
      <c r="E11" s="11">
        <f>IFERROR(VLOOKUP(A11,'CF Q1-24'!A:D,4,FALSE),0)</f>
        <v>5559</v>
      </c>
      <c r="F11" s="14">
        <f t="shared" si="0"/>
        <v>5461</v>
      </c>
      <c r="G11" s="14"/>
      <c r="H11" s="14"/>
      <c r="I11" s="14"/>
      <c r="J11" s="11">
        <v>9883</v>
      </c>
      <c r="K11" s="11"/>
    </row>
    <row r="12" spans="1:12" x14ac:dyDescent="0.25">
      <c r="A12" s="11" t="s">
        <v>114</v>
      </c>
      <c r="B12" s="11"/>
      <c r="C12" s="11"/>
      <c r="D12" s="11">
        <v>9889</v>
      </c>
      <c r="E12" s="11">
        <f>IFERROR(VLOOKUP(A12,'CF Q1-24'!A:D,4,FALSE),0)</f>
        <v>5201</v>
      </c>
      <c r="F12" s="14">
        <f t="shared" si="0"/>
        <v>4688</v>
      </c>
      <c r="G12" s="14"/>
      <c r="H12" s="14"/>
      <c r="I12" s="14"/>
      <c r="J12" s="11">
        <v>9969</v>
      </c>
      <c r="K12" s="11"/>
    </row>
    <row r="13" spans="1:12" x14ac:dyDescent="0.25">
      <c r="A13" s="11" t="s">
        <v>115</v>
      </c>
      <c r="B13" s="11"/>
      <c r="C13" s="11"/>
      <c r="D13" s="11">
        <v>236</v>
      </c>
      <c r="E13" s="11">
        <f>IFERROR(VLOOKUP(A13,'CF Q1-24'!A:D,4,FALSE),0)</f>
        <v>98</v>
      </c>
      <c r="F13" s="14">
        <f t="shared" si="0"/>
        <v>138</v>
      </c>
      <c r="G13" s="14"/>
      <c r="H13" s="14"/>
      <c r="I13" s="14"/>
      <c r="J13" s="11">
        <v>249</v>
      </c>
      <c r="K13" s="11"/>
    </row>
    <row r="14" spans="1:12" x14ac:dyDescent="0.25">
      <c r="A14" s="11" t="s">
        <v>116</v>
      </c>
      <c r="B14" s="11"/>
      <c r="C14" s="11"/>
      <c r="D14" s="11">
        <v>441</v>
      </c>
      <c r="E14" s="11">
        <f>IFERROR(VLOOKUP(A14,'CF Q1-24'!A:D,4,FALSE),0)</f>
        <v>220</v>
      </c>
      <c r="F14" s="14">
        <f t="shared" si="0"/>
        <v>221</v>
      </c>
      <c r="G14" s="14"/>
      <c r="H14" s="14"/>
      <c r="I14" s="14"/>
      <c r="J14" s="11" t="s">
        <v>78</v>
      </c>
      <c r="K14" s="11"/>
    </row>
    <row r="15" spans="1:12" x14ac:dyDescent="0.25">
      <c r="A15" s="11" t="s">
        <v>117</v>
      </c>
      <c r="B15" s="11"/>
      <c r="C15" s="11"/>
      <c r="D15" s="11">
        <v>2354</v>
      </c>
      <c r="E15" s="11">
        <f>IFERROR(VLOOKUP(A15,'CF Q1-24'!A:D,4,FALSE),0)</f>
        <v>90</v>
      </c>
      <c r="F15" s="14">
        <f t="shared" si="0"/>
        <v>2264</v>
      </c>
      <c r="G15" s="14"/>
      <c r="H15" s="14"/>
      <c r="I15" s="14"/>
      <c r="J15" s="11">
        <v>5490</v>
      </c>
      <c r="K15" s="11"/>
    </row>
    <row r="16" spans="1:12" x14ac:dyDescent="0.25">
      <c r="A16" s="11" t="s">
        <v>118</v>
      </c>
      <c r="B16" s="11"/>
      <c r="C16" s="11"/>
      <c r="D16" s="11">
        <v>-6298</v>
      </c>
      <c r="E16" s="11">
        <f>IFERROR(VLOOKUP(A16,'CF Q1-24'!A:D,4,FALSE),0)</f>
        <v>0</v>
      </c>
      <c r="F16" s="14">
        <f t="shared" si="0"/>
        <v>-6298</v>
      </c>
      <c r="G16" s="14"/>
      <c r="H16" s="14"/>
      <c r="I16" s="14"/>
      <c r="J16" s="11">
        <v>-154</v>
      </c>
      <c r="K16" s="11"/>
    </row>
    <row r="17" spans="1:12" x14ac:dyDescent="0.25">
      <c r="A17" s="11" t="s">
        <v>119</v>
      </c>
      <c r="B17" s="11"/>
      <c r="C17" s="11"/>
      <c r="D17" s="14"/>
      <c r="E17" s="11">
        <f>IFERROR(VLOOKUP(A17,'CF Q1-24'!A:D,4,FALSE),0)</f>
        <v>0</v>
      </c>
      <c r="F17" s="14">
        <f t="shared" si="0"/>
        <v>0</v>
      </c>
      <c r="G17" s="14"/>
      <c r="H17" s="14"/>
      <c r="I17" s="14"/>
      <c r="J17" s="14"/>
      <c r="K17" s="14"/>
    </row>
    <row r="18" spans="1:12" x14ac:dyDescent="0.25">
      <c r="A18" s="11" t="s">
        <v>120</v>
      </c>
      <c r="B18" s="11"/>
      <c r="C18" s="11"/>
      <c r="D18" s="11">
        <v>6468</v>
      </c>
      <c r="E18" s="11">
        <f>IFERROR(VLOOKUP(A18,'CF Q1-24'!A:D,4,FALSE),0)</f>
        <v>21170</v>
      </c>
      <c r="F18" s="14">
        <f t="shared" si="0"/>
        <v>-14702</v>
      </c>
      <c r="G18" s="14"/>
      <c r="H18" s="14"/>
      <c r="I18" s="14"/>
      <c r="J18" s="11">
        <v>273835</v>
      </c>
      <c r="K18" s="11"/>
    </row>
    <row r="19" spans="1:12" x14ac:dyDescent="0.25">
      <c r="A19" s="11" t="s">
        <v>55</v>
      </c>
      <c r="B19" s="11"/>
      <c r="C19" s="11"/>
      <c r="D19" s="11">
        <v>44476</v>
      </c>
      <c r="E19" s="11">
        <f>IFERROR(VLOOKUP(A19,'CF Q1-24'!A:D,4,FALSE),0)</f>
        <v>17218</v>
      </c>
      <c r="F19" s="14">
        <f t="shared" si="0"/>
        <v>27258</v>
      </c>
      <c r="G19" s="14"/>
      <c r="H19" s="14"/>
      <c r="I19" s="14"/>
      <c r="J19" s="11">
        <v>-27787</v>
      </c>
      <c r="K19" s="11"/>
      <c r="L19" s="14"/>
    </row>
    <row r="20" spans="1:12" x14ac:dyDescent="0.25">
      <c r="A20" s="11" t="s">
        <v>56</v>
      </c>
      <c r="B20" s="11"/>
      <c r="C20" s="11"/>
      <c r="D20" s="11">
        <v>-22714</v>
      </c>
      <c r="E20" s="11">
        <f>IFERROR(VLOOKUP(A20,'CF Q1-24'!A:D,4,FALSE),0)</f>
        <v>-16036</v>
      </c>
      <c r="F20" s="14">
        <f t="shared" si="0"/>
        <v>-6678</v>
      </c>
      <c r="G20" s="14"/>
      <c r="H20" s="14"/>
      <c r="I20" s="14"/>
      <c r="J20" s="11">
        <v>-6895</v>
      </c>
      <c r="K20" s="11"/>
      <c r="L20" s="14"/>
    </row>
    <row r="21" spans="1:12" x14ac:dyDescent="0.25">
      <c r="A21" s="11" t="s">
        <v>121</v>
      </c>
      <c r="B21" s="11"/>
      <c r="C21" s="11"/>
      <c r="D21" s="11">
        <v>-11234</v>
      </c>
      <c r="E21" s="11">
        <f>IFERROR(VLOOKUP(A21,'CF Q1-24'!A:D,4,FALSE),0)</f>
        <v>-5717</v>
      </c>
      <c r="F21" s="14">
        <f t="shared" si="0"/>
        <v>-5517</v>
      </c>
      <c r="G21" s="14"/>
      <c r="H21" s="14"/>
      <c r="I21" s="14"/>
      <c r="J21" s="11">
        <v>-9820</v>
      </c>
      <c r="K21" s="11"/>
    </row>
    <row r="22" spans="1:12" x14ac:dyDescent="0.25">
      <c r="A22" s="11" t="s">
        <v>62</v>
      </c>
      <c r="B22" s="11"/>
      <c r="C22" s="11"/>
      <c r="D22" s="11">
        <v>2813</v>
      </c>
      <c r="E22" s="11">
        <f>IFERROR(VLOOKUP(A22,'CF Q1-24'!A:D,4,FALSE),0)</f>
        <v>-2132</v>
      </c>
      <c r="F22" s="14">
        <f t="shared" si="0"/>
        <v>4945</v>
      </c>
      <c r="G22" s="14"/>
      <c r="H22" s="14"/>
      <c r="I22" s="14"/>
      <c r="J22" s="11">
        <v>-897</v>
      </c>
      <c r="K22" s="11"/>
    </row>
    <row r="23" spans="1:12" x14ac:dyDescent="0.25">
      <c r="A23" s="11" t="s">
        <v>122</v>
      </c>
      <c r="B23" s="11"/>
      <c r="C23" s="11"/>
      <c r="D23" s="11">
        <v>-49308</v>
      </c>
      <c r="E23" s="11">
        <f>IFERROR(VLOOKUP(A23,'CF Q1-24'!A:D,4,FALSE),0)</f>
        <v>-33413</v>
      </c>
      <c r="F23" s="14">
        <f t="shared" si="0"/>
        <v>-15895</v>
      </c>
      <c r="G23" s="14"/>
      <c r="H23" s="14"/>
      <c r="I23" s="14"/>
      <c r="J23" s="11">
        <v>-35651</v>
      </c>
      <c r="K23" s="11"/>
    </row>
    <row r="24" spans="1:12" x14ac:dyDescent="0.25">
      <c r="A24" s="11" t="s">
        <v>123</v>
      </c>
      <c r="B24" s="11"/>
      <c r="C24" s="11"/>
      <c r="D24" s="11">
        <v>29218</v>
      </c>
      <c r="E24" s="11">
        <f>IFERROR(VLOOKUP(A24,'CF Q1-24'!A:D,4,FALSE),0)</f>
        <v>12040</v>
      </c>
      <c r="F24" s="14">
        <f t="shared" si="0"/>
        <v>17178</v>
      </c>
      <c r="G24" s="14"/>
      <c r="H24" s="14"/>
      <c r="I24" s="14"/>
      <c r="J24" s="11">
        <v>255913</v>
      </c>
      <c r="K24" s="11"/>
    </row>
    <row r="25" spans="1:12" x14ac:dyDescent="0.25">
      <c r="A25" s="11" t="s">
        <v>124</v>
      </c>
      <c r="B25" s="11"/>
      <c r="C25" s="11"/>
      <c r="D25" s="11">
        <v>159911</v>
      </c>
      <c r="E25" s="11">
        <f>IFERROR(VLOOKUP(A25,'CF Q1-24'!A:D,4,FALSE),0)</f>
        <v>81168</v>
      </c>
      <c r="F25" s="14">
        <f t="shared" si="0"/>
        <v>78743</v>
      </c>
      <c r="G25" s="14"/>
      <c r="H25" s="14"/>
      <c r="I25" s="14"/>
      <c r="J25" s="11">
        <v>416440</v>
      </c>
      <c r="K25" s="11"/>
    </row>
    <row r="26" spans="1:12" x14ac:dyDescent="0.25">
      <c r="A26" s="11" t="s">
        <v>125</v>
      </c>
      <c r="B26" s="11"/>
      <c r="C26" s="11"/>
      <c r="D26" s="14"/>
      <c r="E26" s="11">
        <f>IFERROR(VLOOKUP(A26,'CF Q1-24'!A:D,4,FALSE),0)</f>
        <v>0</v>
      </c>
      <c r="F26" s="14">
        <f t="shared" si="0"/>
        <v>0</v>
      </c>
      <c r="G26" s="14"/>
      <c r="H26" s="14"/>
      <c r="I26" s="14"/>
      <c r="J26" s="14"/>
      <c r="K26" s="14"/>
    </row>
    <row r="27" spans="1:12" x14ac:dyDescent="0.25">
      <c r="A27" s="11" t="s">
        <v>126</v>
      </c>
      <c r="B27" s="11"/>
      <c r="C27" s="11"/>
      <c r="D27" s="11">
        <v>-43783</v>
      </c>
      <c r="E27" s="11">
        <f>IFERROR(VLOOKUP(A27,'CF Q1-24'!A:D,4,FALSE),0)</f>
        <v>-18433</v>
      </c>
      <c r="F27" s="14">
        <f t="shared" si="0"/>
        <v>-25350</v>
      </c>
      <c r="G27" s="14"/>
      <c r="H27" s="14"/>
      <c r="I27" s="14"/>
      <c r="J27" s="11">
        <v>-40571</v>
      </c>
      <c r="K27" s="11"/>
    </row>
    <row r="28" spans="1:12" x14ac:dyDescent="0.25">
      <c r="A28" s="11" t="s">
        <v>148</v>
      </c>
      <c r="B28" s="11"/>
      <c r="C28" s="11"/>
      <c r="D28" s="11">
        <v>-9868</v>
      </c>
      <c r="E28" s="11">
        <v>0</v>
      </c>
      <c r="F28" s="14">
        <f t="shared" si="0"/>
        <v>-9868</v>
      </c>
      <c r="G28" s="14"/>
      <c r="H28" s="14"/>
      <c r="I28" s="14"/>
      <c r="J28" s="11">
        <v>-20533</v>
      </c>
      <c r="K28" s="11"/>
    </row>
    <row r="29" spans="1:12" x14ac:dyDescent="0.25">
      <c r="A29" s="11" t="s">
        <v>127</v>
      </c>
      <c r="B29" s="11"/>
      <c r="C29" s="11"/>
      <c r="D29" s="11">
        <v>-53651</v>
      </c>
      <c r="E29" s="11">
        <f>IFERROR(VLOOKUP(A29,'CF Q1-24'!A:D,4,FALSE),0)</f>
        <v>-18433</v>
      </c>
      <c r="F29" s="14">
        <f t="shared" si="0"/>
        <v>-35218</v>
      </c>
      <c r="G29" s="14"/>
      <c r="H29" s="14"/>
      <c r="I29" s="14"/>
      <c r="J29" s="11">
        <v>-61104</v>
      </c>
      <c r="K29" s="11"/>
    </row>
    <row r="30" spans="1:12" x14ac:dyDescent="0.25">
      <c r="A30" s="11" t="s">
        <v>128</v>
      </c>
      <c r="B30" s="11"/>
      <c r="C30" s="11"/>
      <c r="D30" s="14"/>
      <c r="E30" s="11">
        <f>IFERROR(VLOOKUP(A30,'CF Q1-24'!A:D,4,FALSE),0)</f>
        <v>0</v>
      </c>
      <c r="F30" s="14">
        <f t="shared" si="0"/>
        <v>0</v>
      </c>
      <c r="G30" s="14"/>
      <c r="H30" s="14"/>
      <c r="I30" s="14"/>
      <c r="J30" s="14"/>
      <c r="K30" s="14"/>
      <c r="L30" s="14"/>
    </row>
    <row r="31" spans="1:12" x14ac:dyDescent="0.25">
      <c r="A31" s="11" t="s">
        <v>181</v>
      </c>
      <c r="B31" s="11"/>
      <c r="C31" s="11"/>
      <c r="D31" s="11">
        <v>-148677</v>
      </c>
      <c r="E31" s="11">
        <f>IFERROR(VLOOKUP(A31,'CF Q1-24'!A:D,4,FALSE),0)</f>
        <v>-132045</v>
      </c>
      <c r="F31" s="14">
        <f t="shared" si="0"/>
        <v>-16632</v>
      </c>
      <c r="G31" s="14"/>
      <c r="H31" s="14"/>
      <c r="I31" s="14"/>
      <c r="J31" s="11">
        <v>-31007</v>
      </c>
      <c r="K31" s="11"/>
      <c r="L31" s="14"/>
    </row>
    <row r="32" spans="1:12" x14ac:dyDescent="0.25">
      <c r="A32" s="11" t="s">
        <v>129</v>
      </c>
      <c r="B32" s="11"/>
      <c r="C32" s="11"/>
      <c r="D32" s="11">
        <v>-93964</v>
      </c>
      <c r="E32" s="11">
        <f>IFERROR(VLOOKUP(A32,'CF Q1-24'!A:D,4,FALSE),0)</f>
        <v>-47192</v>
      </c>
      <c r="F32" s="14">
        <f t="shared" si="0"/>
        <v>-46772</v>
      </c>
      <c r="G32" s="14"/>
      <c r="H32" s="14"/>
      <c r="I32" s="14"/>
      <c r="J32" s="11">
        <v>-88313</v>
      </c>
      <c r="K32" s="11"/>
      <c r="L32" s="14"/>
    </row>
    <row r="33" spans="1:11" x14ac:dyDescent="0.25">
      <c r="A33" s="11" t="s">
        <v>182</v>
      </c>
      <c r="B33" s="11"/>
      <c r="C33" s="11"/>
      <c r="D33" s="11">
        <v>2327</v>
      </c>
      <c r="E33" s="11">
        <f>IFERROR(VLOOKUP(A33,'CF Q1-24'!A:D,4,FALSE),0)</f>
        <v>1144</v>
      </c>
      <c r="F33" s="14">
        <f t="shared" si="0"/>
        <v>1183</v>
      </c>
      <c r="G33" s="14"/>
      <c r="H33" s="14"/>
      <c r="I33" s="14"/>
      <c r="J33" s="11">
        <v>2332</v>
      </c>
      <c r="K33" s="11"/>
    </row>
    <row r="34" spans="1:11" x14ac:dyDescent="0.25">
      <c r="A34" s="11" t="s">
        <v>183</v>
      </c>
      <c r="B34" s="11"/>
      <c r="C34" s="11"/>
      <c r="D34" s="11">
        <v>8251</v>
      </c>
      <c r="E34" s="11">
        <f>IFERROR(VLOOKUP(A34,'CF Q1-24'!A:D,4,FALSE),0)</f>
        <v>6852</v>
      </c>
      <c r="F34" s="14">
        <f t="shared" si="0"/>
        <v>1399</v>
      </c>
      <c r="G34" s="14"/>
      <c r="H34" s="14"/>
      <c r="I34" s="14"/>
      <c r="J34" s="11">
        <v>12775</v>
      </c>
      <c r="K34" s="11"/>
    </row>
    <row r="35" spans="1:11" x14ac:dyDescent="0.25">
      <c r="A35" s="11" t="s">
        <v>130</v>
      </c>
      <c r="B35" s="11"/>
      <c r="C35" s="11"/>
      <c r="D35" s="11">
        <v>297000</v>
      </c>
      <c r="E35" s="11">
        <f>IFERROR(VLOOKUP(A35,'CF Q1-24'!A:D,4,FALSE),0)</f>
        <v>148000</v>
      </c>
      <c r="F35" s="14">
        <f t="shared" si="0"/>
        <v>149000</v>
      </c>
      <c r="G35" s="14"/>
      <c r="H35" s="14"/>
      <c r="I35" s="14"/>
      <c r="J35" s="11">
        <v>208000</v>
      </c>
      <c r="K35" s="11"/>
    </row>
    <row r="36" spans="1:11" x14ac:dyDescent="0.25">
      <c r="A36" s="11" t="s">
        <v>131</v>
      </c>
      <c r="B36" s="11"/>
      <c r="C36" s="11"/>
      <c r="D36" s="11">
        <v>-202000</v>
      </c>
      <c r="E36" s="11">
        <f>IFERROR(VLOOKUP(A36,'CF Q1-24'!A:D,4,FALSE),0)</f>
        <v>-65000</v>
      </c>
      <c r="F36" s="14">
        <f t="shared" si="0"/>
        <v>-137000</v>
      </c>
      <c r="G36" s="14"/>
      <c r="H36" s="14"/>
      <c r="I36" s="14"/>
      <c r="J36" s="11">
        <v>-403000</v>
      </c>
      <c r="K36" s="11"/>
    </row>
    <row r="37" spans="1:11" x14ac:dyDescent="0.25">
      <c r="A37" s="11" t="s">
        <v>132</v>
      </c>
      <c r="B37" s="11"/>
      <c r="C37" s="11"/>
      <c r="D37" s="11">
        <v>3850</v>
      </c>
      <c r="E37" s="11">
        <f>IFERROR(VLOOKUP(A37,'CF Q1-24'!A:D,4,FALSE),0)</f>
        <v>1624</v>
      </c>
      <c r="F37" s="14">
        <f t="shared" si="0"/>
        <v>2226</v>
      </c>
      <c r="G37" s="14"/>
      <c r="H37" s="14"/>
      <c r="I37" s="14"/>
      <c r="J37" s="11">
        <v>1061</v>
      </c>
      <c r="K37" s="11"/>
    </row>
    <row r="38" spans="1:11" x14ac:dyDescent="0.25">
      <c r="A38" s="11" t="s">
        <v>133</v>
      </c>
      <c r="B38" s="11"/>
      <c r="C38" s="11"/>
      <c r="D38" s="11">
        <v>0</v>
      </c>
      <c r="E38" s="11">
        <f>IFERROR(VLOOKUP(A38,'CF Q1-24'!A:D,4,FALSE),0)</f>
        <v>0</v>
      </c>
      <c r="F38" s="14">
        <f t="shared" si="0"/>
        <v>0</v>
      </c>
      <c r="G38" s="14"/>
      <c r="H38" s="14"/>
      <c r="I38" s="14"/>
      <c r="J38" s="11">
        <v>-50000</v>
      </c>
      <c r="K38" s="11"/>
    </row>
    <row r="39" spans="1:11" x14ac:dyDescent="0.25">
      <c r="A39" s="11" t="s">
        <v>135</v>
      </c>
      <c r="B39" s="11"/>
      <c r="C39" s="11"/>
      <c r="D39" s="11">
        <v>-1064</v>
      </c>
      <c r="E39" s="11">
        <f>IFERROR(VLOOKUP(A39,'CF Q1-24'!A:D,4,FALSE),0)</f>
        <v>-574</v>
      </c>
      <c r="F39" s="14">
        <f t="shared" si="0"/>
        <v>-490</v>
      </c>
      <c r="G39" s="14"/>
      <c r="H39" s="14"/>
      <c r="I39" s="14"/>
      <c r="J39" s="11">
        <v>-1171</v>
      </c>
      <c r="K39" s="11"/>
    </row>
    <row r="40" spans="1:11" x14ac:dyDescent="0.25">
      <c r="A40" s="11" t="s">
        <v>136</v>
      </c>
      <c r="B40" s="11"/>
      <c r="C40" s="11"/>
      <c r="D40" s="11">
        <v>-134277</v>
      </c>
      <c r="E40" s="11">
        <f>IFERROR(VLOOKUP(A40,'CF Q1-24'!A:D,4,FALSE),0)</f>
        <v>-87191</v>
      </c>
      <c r="F40" s="14">
        <f t="shared" si="0"/>
        <v>-47086</v>
      </c>
      <c r="G40" s="14"/>
      <c r="H40" s="14"/>
      <c r="I40" s="14"/>
      <c r="J40" s="11">
        <v>-349323</v>
      </c>
      <c r="K40" s="11"/>
    </row>
    <row r="41" spans="1:11" x14ac:dyDescent="0.25">
      <c r="A41" s="11" t="s">
        <v>137</v>
      </c>
      <c r="B41" s="11"/>
      <c r="C41" s="11"/>
      <c r="D41" s="11">
        <v>192</v>
      </c>
      <c r="E41" s="11">
        <f>IFERROR(VLOOKUP(A41,'CF Q1-24'!A:D,4,FALSE),0)</f>
        <v>209</v>
      </c>
      <c r="F41" s="14">
        <f t="shared" si="0"/>
        <v>-17</v>
      </c>
      <c r="G41" s="14"/>
      <c r="H41" s="14"/>
      <c r="I41" s="14"/>
      <c r="J41" s="11">
        <v>65</v>
      </c>
      <c r="K41" s="11"/>
    </row>
    <row r="42" spans="1:11" x14ac:dyDescent="0.25">
      <c r="A42" s="11" t="s">
        <v>185</v>
      </c>
      <c r="B42" s="11"/>
      <c r="C42" s="11"/>
      <c r="D42" s="11">
        <v>-27825</v>
      </c>
      <c r="E42" s="11">
        <f>IFERROR(VLOOKUP(A42,'CF Q1-24'!A:D,4,FALSE),0)</f>
        <v>-24247</v>
      </c>
      <c r="F42" s="14">
        <f t="shared" si="0"/>
        <v>-3578</v>
      </c>
      <c r="G42" s="14"/>
      <c r="H42" s="14"/>
      <c r="I42" s="14"/>
      <c r="J42" s="11">
        <v>6078</v>
      </c>
      <c r="K42" s="11"/>
    </row>
    <row r="43" spans="1:11" x14ac:dyDescent="0.25">
      <c r="A43" s="11" t="s">
        <v>138</v>
      </c>
      <c r="B43" s="11"/>
      <c r="C43" s="11"/>
      <c r="D43" s="11">
        <v>50052</v>
      </c>
      <c r="E43" s="11">
        <f>IFERROR(VLOOKUP(A43,'CF Q1-24'!A:D,4,FALSE),0)</f>
        <v>50052</v>
      </c>
      <c r="F43" s="14">
        <f>E44</f>
        <v>25805</v>
      </c>
      <c r="G43" s="14"/>
      <c r="H43" s="14"/>
      <c r="I43" s="14"/>
      <c r="J43" s="11">
        <v>43537</v>
      </c>
      <c r="K43" s="11"/>
    </row>
    <row r="44" spans="1:11" x14ac:dyDescent="0.25">
      <c r="A44" s="15" t="s">
        <v>139</v>
      </c>
      <c r="B44" s="15"/>
      <c r="C44" s="15"/>
      <c r="D44" s="15">
        <v>22227</v>
      </c>
      <c r="E44" s="11">
        <f>IFERROR(VLOOKUP(A44,'CF Q1-24'!A:D,4,FALSE),0)</f>
        <v>25805</v>
      </c>
      <c r="F44" s="14">
        <f>D44</f>
        <v>22227</v>
      </c>
      <c r="J44" s="15">
        <v>49615</v>
      </c>
      <c r="K44" s="15"/>
    </row>
    <row r="45" spans="1:11" x14ac:dyDescent="0.25">
      <c r="A45" s="15" t="s">
        <v>140</v>
      </c>
      <c r="B45" s="15"/>
      <c r="C45" s="15"/>
      <c r="E45" s="11">
        <f>IFERROR(VLOOKUP(A45,'CF Q1-24'!A:D,4,FALSE),0)</f>
        <v>0</v>
      </c>
      <c r="F45" s="14">
        <f t="shared" si="0"/>
        <v>0</v>
      </c>
    </row>
    <row r="46" spans="1:11" x14ac:dyDescent="0.25">
      <c r="A46" s="15" t="s">
        <v>141</v>
      </c>
      <c r="B46" s="15"/>
      <c r="C46" s="15"/>
      <c r="D46" s="15">
        <v>55743</v>
      </c>
      <c r="E46" s="11">
        <f>IFERROR(VLOOKUP(A46,'CF Q1-24'!A:D,4,FALSE),0)</f>
        <v>5454</v>
      </c>
      <c r="F46" s="14">
        <f t="shared" si="0"/>
        <v>50289</v>
      </c>
      <c r="J46" s="15">
        <v>58641</v>
      </c>
      <c r="K46" s="15"/>
    </row>
    <row r="47" spans="1:11" x14ac:dyDescent="0.25">
      <c r="A47" s="15" t="s">
        <v>142</v>
      </c>
      <c r="B47" s="15"/>
      <c r="C47" s="15"/>
      <c r="D47" s="15">
        <v>11996</v>
      </c>
      <c r="E47" s="11">
        <f>IFERROR(VLOOKUP(A47,'CF Q1-24'!A:D,4,FALSE),0)</f>
        <v>4882</v>
      </c>
      <c r="F47" s="14">
        <f t="shared" si="0"/>
        <v>7114</v>
      </c>
      <c r="J47" s="15">
        <v>10327</v>
      </c>
      <c r="K47" s="15"/>
    </row>
    <row r="49" spans="4:10" x14ac:dyDescent="0.25">
      <c r="D49" s="12">
        <f>SUM(D7:D47)</f>
        <v>85569</v>
      </c>
      <c r="E49" s="12">
        <f>SUM(E7:E47)</f>
        <v>25283</v>
      </c>
      <c r="F49" s="12">
        <f>SUM(F7:F47)</f>
        <v>111896</v>
      </c>
      <c r="J49" s="12">
        <f>SUM(J9:J47)</f>
        <v>275675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52C1-D36F-4181-8279-0D95D7A45940}">
  <sheetPr>
    <tabColor theme="9" tint="0.59999389629810485"/>
  </sheetPr>
  <dimension ref="A2:L46"/>
  <sheetViews>
    <sheetView workbookViewId="0"/>
  </sheetViews>
  <sheetFormatPr defaultColWidth="11.7109375" defaultRowHeight="15" x14ac:dyDescent="0.25"/>
  <cols>
    <col min="1" max="16384" width="11.7109375" style="12"/>
  </cols>
  <sheetData>
    <row r="2" spans="1:12" x14ac:dyDescent="0.25">
      <c r="A2" s="11" t="s">
        <v>108</v>
      </c>
      <c r="B2" s="11"/>
      <c r="C2" s="11"/>
      <c r="D2" s="11"/>
      <c r="E2" s="11"/>
      <c r="F2" s="11"/>
    </row>
    <row r="4" spans="1:12" x14ac:dyDescent="0.25">
      <c r="A4" s="14"/>
      <c r="B4" s="14"/>
      <c r="C4" s="14"/>
      <c r="D4" s="11" t="s">
        <v>86</v>
      </c>
      <c r="E4" s="11"/>
      <c r="F4" s="11"/>
      <c r="G4" s="11"/>
      <c r="H4" s="11"/>
      <c r="I4" s="11"/>
      <c r="J4" s="11"/>
      <c r="K4" s="11"/>
      <c r="L4" s="11"/>
    </row>
    <row r="5" spans="1:12" ht="39.950000000000003" customHeight="1" x14ac:dyDescent="0.25">
      <c r="A5" s="14"/>
      <c r="B5" s="14"/>
      <c r="C5" s="14"/>
      <c r="D5" s="13" t="s">
        <v>146</v>
      </c>
      <c r="E5" s="13"/>
      <c r="F5" s="13"/>
      <c r="G5" s="14"/>
      <c r="H5" s="14"/>
      <c r="I5" s="14"/>
      <c r="J5" s="13" t="s">
        <v>147</v>
      </c>
      <c r="K5" s="13"/>
      <c r="L5" s="13"/>
    </row>
    <row r="6" spans="1:12" x14ac:dyDescent="0.25">
      <c r="A6" s="11" t="s">
        <v>109</v>
      </c>
      <c r="B6" s="11"/>
      <c r="C6" s="11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1" t="s">
        <v>101</v>
      </c>
      <c r="B7" s="11"/>
      <c r="C7" s="11"/>
      <c r="D7" s="11">
        <v>69128</v>
      </c>
      <c r="E7" s="11"/>
      <c r="F7" s="14"/>
      <c r="G7" s="14"/>
      <c r="H7" s="14"/>
      <c r="I7" s="14"/>
      <c r="J7" s="11">
        <v>81212</v>
      </c>
      <c r="K7" s="11"/>
      <c r="L7" s="14"/>
    </row>
    <row r="8" spans="1:12" x14ac:dyDescent="0.25">
      <c r="A8" s="11" t="s">
        <v>110</v>
      </c>
      <c r="B8" s="11"/>
      <c r="C8" s="11"/>
      <c r="D8" s="14"/>
      <c r="E8" s="14"/>
      <c r="G8" s="14"/>
      <c r="H8" s="14"/>
      <c r="I8" s="14"/>
      <c r="J8" s="14"/>
      <c r="K8" s="14"/>
    </row>
    <row r="9" spans="1:12" x14ac:dyDescent="0.25">
      <c r="A9" s="11" t="s">
        <v>111</v>
      </c>
      <c r="B9" s="11"/>
      <c r="C9" s="11"/>
      <c r="D9" s="11">
        <v>19782</v>
      </c>
      <c r="E9" s="11"/>
      <c r="G9" s="14"/>
      <c r="H9" s="14"/>
      <c r="I9" s="14"/>
      <c r="J9" s="11">
        <v>18566</v>
      </c>
      <c r="K9" s="11"/>
    </row>
    <row r="10" spans="1:12" x14ac:dyDescent="0.25">
      <c r="A10" s="11" t="s">
        <v>113</v>
      </c>
      <c r="B10" s="11"/>
      <c r="C10" s="11"/>
      <c r="D10" s="11">
        <v>5559</v>
      </c>
      <c r="E10" s="11"/>
      <c r="G10" s="14"/>
      <c r="H10" s="14"/>
      <c r="I10" s="14"/>
      <c r="J10" s="11">
        <v>4872</v>
      </c>
      <c r="K10" s="11"/>
    </row>
    <row r="11" spans="1:12" x14ac:dyDescent="0.25">
      <c r="A11" s="11" t="s">
        <v>114</v>
      </c>
      <c r="B11" s="11"/>
      <c r="C11" s="11"/>
      <c r="D11" s="11">
        <v>5201</v>
      </c>
      <c r="E11" s="11"/>
      <c r="G11" s="14"/>
      <c r="H11" s="14"/>
      <c r="I11" s="14"/>
      <c r="J11" s="11">
        <v>4990</v>
      </c>
      <c r="K11" s="11"/>
    </row>
    <row r="12" spans="1:12" x14ac:dyDescent="0.25">
      <c r="A12" s="11" t="s">
        <v>115</v>
      </c>
      <c r="B12" s="11"/>
      <c r="C12" s="11"/>
      <c r="D12" s="11">
        <v>98</v>
      </c>
      <c r="E12" s="11"/>
      <c r="G12" s="14"/>
      <c r="H12" s="14"/>
      <c r="I12" s="14"/>
      <c r="J12" s="11">
        <v>229</v>
      </c>
      <c r="K12" s="11"/>
    </row>
    <row r="13" spans="1:12" x14ac:dyDescent="0.25">
      <c r="A13" s="11" t="s">
        <v>116</v>
      </c>
      <c r="B13" s="11"/>
      <c r="C13" s="11"/>
      <c r="D13" s="11">
        <v>220</v>
      </c>
      <c r="E13" s="11"/>
      <c r="G13" s="14"/>
      <c r="H13" s="14"/>
      <c r="I13" s="14"/>
      <c r="J13" s="11" t="s">
        <v>78</v>
      </c>
      <c r="K13" s="11"/>
    </row>
    <row r="14" spans="1:12" x14ac:dyDescent="0.25">
      <c r="A14" s="11" t="s">
        <v>117</v>
      </c>
      <c r="B14" s="11"/>
      <c r="C14" s="11"/>
      <c r="D14" s="11">
        <v>90</v>
      </c>
      <c r="E14" s="11"/>
      <c r="G14" s="14"/>
      <c r="H14" s="14"/>
      <c r="I14" s="14"/>
      <c r="J14" s="11">
        <v>2673</v>
      </c>
      <c r="K14" s="11"/>
    </row>
    <row r="15" spans="1:12" x14ac:dyDescent="0.25">
      <c r="A15" s="11" t="s">
        <v>119</v>
      </c>
      <c r="B15" s="11"/>
      <c r="C15" s="11"/>
      <c r="D15" s="14"/>
      <c r="E15" s="14"/>
      <c r="G15" s="14"/>
      <c r="H15" s="14"/>
      <c r="I15" s="14"/>
      <c r="J15" s="14"/>
      <c r="K15" s="14"/>
    </row>
    <row r="16" spans="1:12" x14ac:dyDescent="0.25">
      <c r="A16" s="11" t="s">
        <v>120</v>
      </c>
      <c r="B16" s="11"/>
      <c r="C16" s="11"/>
      <c r="D16" s="11">
        <v>21170</v>
      </c>
      <c r="E16" s="11"/>
      <c r="G16" s="14"/>
      <c r="H16" s="14"/>
      <c r="I16" s="14"/>
      <c r="J16" s="11">
        <v>56</v>
      </c>
      <c r="K16" s="11"/>
    </row>
    <row r="17" spans="1:12" x14ac:dyDescent="0.25">
      <c r="A17" s="11" t="s">
        <v>55</v>
      </c>
      <c r="B17" s="11"/>
      <c r="C17" s="11"/>
      <c r="D17" s="11">
        <v>17218</v>
      </c>
      <c r="E17" s="11"/>
      <c r="G17" s="14"/>
      <c r="H17" s="14"/>
      <c r="I17" s="14"/>
      <c r="J17" s="11">
        <v>-9516</v>
      </c>
      <c r="K17" s="11"/>
    </row>
    <row r="18" spans="1:12" x14ac:dyDescent="0.25">
      <c r="A18" s="11" t="s">
        <v>56</v>
      </c>
      <c r="B18" s="11"/>
      <c r="C18" s="11"/>
      <c r="D18" s="11">
        <v>-16036</v>
      </c>
      <c r="E18" s="11"/>
      <c r="G18" s="14"/>
      <c r="H18" s="14"/>
      <c r="I18" s="14"/>
      <c r="J18" s="11">
        <v>-22764</v>
      </c>
      <c r="K18" s="11"/>
    </row>
    <row r="19" spans="1:12" x14ac:dyDescent="0.25">
      <c r="A19" s="11" t="s">
        <v>121</v>
      </c>
      <c r="B19" s="11"/>
      <c r="C19" s="11"/>
      <c r="D19" s="11">
        <v>-5717</v>
      </c>
      <c r="E19" s="11"/>
      <c r="F19" s="14"/>
      <c r="G19" s="14"/>
      <c r="H19" s="14"/>
      <c r="I19" s="14"/>
      <c r="J19" s="11">
        <v>-4843</v>
      </c>
      <c r="K19" s="11"/>
      <c r="L19" s="14"/>
    </row>
    <row r="20" spans="1:12" x14ac:dyDescent="0.25">
      <c r="A20" s="11" t="s">
        <v>62</v>
      </c>
      <c r="B20" s="11"/>
      <c r="C20" s="11"/>
      <c r="D20" s="11">
        <v>-2132</v>
      </c>
      <c r="E20" s="11"/>
      <c r="F20" s="14"/>
      <c r="G20" s="14"/>
      <c r="H20" s="14"/>
      <c r="I20" s="14"/>
      <c r="J20" s="11">
        <v>-508</v>
      </c>
      <c r="K20" s="11"/>
      <c r="L20" s="14"/>
    </row>
    <row r="21" spans="1:12" x14ac:dyDescent="0.25">
      <c r="A21" s="11" t="s">
        <v>122</v>
      </c>
      <c r="B21" s="11"/>
      <c r="C21" s="11"/>
      <c r="D21" s="11">
        <v>-33413</v>
      </c>
      <c r="E21" s="11"/>
      <c r="G21" s="14"/>
      <c r="H21" s="14"/>
      <c r="I21" s="14"/>
      <c r="J21" s="11">
        <v>1057</v>
      </c>
      <c r="K21" s="11"/>
    </row>
    <row r="22" spans="1:12" x14ac:dyDescent="0.25">
      <c r="A22" s="11" t="s">
        <v>123</v>
      </c>
      <c r="B22" s="11"/>
      <c r="C22" s="11"/>
      <c r="D22" s="11">
        <v>12040</v>
      </c>
      <c r="E22" s="11"/>
      <c r="G22" s="14"/>
      <c r="H22" s="14"/>
      <c r="I22" s="14"/>
      <c r="J22" s="11">
        <v>-5188</v>
      </c>
      <c r="K22" s="11"/>
    </row>
    <row r="23" spans="1:12" x14ac:dyDescent="0.25">
      <c r="A23" s="11" t="s">
        <v>124</v>
      </c>
      <c r="B23" s="11"/>
      <c r="C23" s="11"/>
      <c r="D23" s="11">
        <v>81168</v>
      </c>
      <c r="E23" s="11"/>
      <c r="G23" s="14"/>
      <c r="H23" s="14"/>
      <c r="I23" s="14"/>
      <c r="J23" s="11">
        <v>76024</v>
      </c>
      <c r="K23" s="11"/>
    </row>
    <row r="24" spans="1:12" x14ac:dyDescent="0.25">
      <c r="A24" s="11" t="s">
        <v>125</v>
      </c>
      <c r="B24" s="11"/>
      <c r="C24" s="11"/>
      <c r="D24" s="14"/>
      <c r="E24" s="14"/>
      <c r="G24" s="14"/>
      <c r="H24" s="14"/>
      <c r="I24" s="14"/>
      <c r="J24" s="14"/>
      <c r="K24" s="14"/>
    </row>
    <row r="25" spans="1:12" x14ac:dyDescent="0.25">
      <c r="A25" s="11" t="s">
        <v>126</v>
      </c>
      <c r="B25" s="11"/>
      <c r="C25" s="11"/>
      <c r="D25" s="11">
        <v>-18433</v>
      </c>
      <c r="E25" s="11"/>
      <c r="G25" s="14"/>
      <c r="H25" s="14"/>
      <c r="I25" s="14"/>
      <c r="J25" s="11">
        <v>-25504</v>
      </c>
      <c r="K25" s="11"/>
    </row>
    <row r="26" spans="1:12" x14ac:dyDescent="0.25">
      <c r="A26" s="11" t="s">
        <v>148</v>
      </c>
      <c r="B26" s="11"/>
      <c r="C26" s="11"/>
      <c r="D26" s="11" t="s">
        <v>78</v>
      </c>
      <c r="E26" s="11"/>
      <c r="G26" s="14"/>
      <c r="H26" s="14"/>
      <c r="I26" s="14"/>
      <c r="J26" s="11">
        <v>-87</v>
      </c>
      <c r="K26" s="11"/>
    </row>
    <row r="27" spans="1:12" x14ac:dyDescent="0.25">
      <c r="A27" s="11" t="s">
        <v>127</v>
      </c>
      <c r="B27" s="11"/>
      <c r="C27" s="11"/>
      <c r="D27" s="11">
        <v>-18433</v>
      </c>
      <c r="E27" s="11"/>
      <c r="G27" s="14"/>
      <c r="H27" s="14"/>
      <c r="I27" s="14"/>
      <c r="J27" s="11">
        <v>-25591</v>
      </c>
      <c r="K27" s="11"/>
    </row>
    <row r="28" spans="1:12" x14ac:dyDescent="0.25">
      <c r="A28" s="11" t="s">
        <v>128</v>
      </c>
      <c r="B28" s="11"/>
      <c r="C28" s="11"/>
      <c r="D28" s="14"/>
      <c r="E28" s="14"/>
      <c r="G28" s="14"/>
      <c r="H28" s="14"/>
      <c r="I28" s="14"/>
      <c r="J28" s="14"/>
      <c r="K28" s="14"/>
    </row>
    <row r="29" spans="1:12" x14ac:dyDescent="0.25">
      <c r="A29" s="11" t="s">
        <v>181</v>
      </c>
      <c r="B29" s="11"/>
      <c r="C29" s="11"/>
      <c r="D29" s="11">
        <v>-132045</v>
      </c>
      <c r="E29" s="11"/>
      <c r="G29" s="14"/>
      <c r="H29" s="14"/>
      <c r="I29" s="14"/>
      <c r="J29" s="11">
        <v>-18539</v>
      </c>
      <c r="K29" s="11"/>
    </row>
    <row r="30" spans="1:12" x14ac:dyDescent="0.25">
      <c r="A30" s="11" t="s">
        <v>129</v>
      </c>
      <c r="B30" s="11"/>
      <c r="C30" s="11"/>
      <c r="D30" s="11">
        <v>-47192</v>
      </c>
      <c r="E30" s="11"/>
      <c r="F30" s="14"/>
      <c r="G30" s="14"/>
      <c r="H30" s="14"/>
      <c r="I30" s="14"/>
      <c r="J30" s="11">
        <v>-44207</v>
      </c>
      <c r="K30" s="11"/>
      <c r="L30" s="14"/>
    </row>
    <row r="31" spans="1:12" x14ac:dyDescent="0.25">
      <c r="A31" s="11" t="s">
        <v>182</v>
      </c>
      <c r="B31" s="11"/>
      <c r="C31" s="11"/>
      <c r="D31" s="11">
        <v>1144</v>
      </c>
      <c r="E31" s="11"/>
      <c r="F31" s="14"/>
      <c r="G31" s="14"/>
      <c r="H31" s="14"/>
      <c r="I31" s="14"/>
      <c r="J31" s="11">
        <v>1056</v>
      </c>
      <c r="K31" s="11"/>
      <c r="L31" s="14"/>
    </row>
    <row r="32" spans="1:12" x14ac:dyDescent="0.25">
      <c r="A32" s="11" t="s">
        <v>183</v>
      </c>
      <c r="B32" s="11"/>
      <c r="C32" s="11"/>
      <c r="D32" s="11">
        <v>6852</v>
      </c>
      <c r="E32" s="11"/>
      <c r="F32" s="14"/>
      <c r="G32" s="14"/>
      <c r="H32" s="14"/>
      <c r="I32" s="14"/>
      <c r="J32" s="11">
        <v>8336</v>
      </c>
      <c r="K32" s="11"/>
      <c r="L32" s="14"/>
    </row>
    <row r="33" spans="1:11" x14ac:dyDescent="0.25">
      <c r="A33" s="11" t="s">
        <v>130</v>
      </c>
      <c r="B33" s="11"/>
      <c r="C33" s="11"/>
      <c r="D33" s="11">
        <v>148000</v>
      </c>
      <c r="E33" s="11"/>
      <c r="G33" s="14"/>
      <c r="H33" s="14"/>
      <c r="I33" s="14"/>
      <c r="J33" s="11">
        <v>84000</v>
      </c>
      <c r="K33" s="11"/>
    </row>
    <row r="34" spans="1:11" x14ac:dyDescent="0.25">
      <c r="A34" s="11" t="s">
        <v>131</v>
      </c>
      <c r="B34" s="11"/>
      <c r="C34" s="11"/>
      <c r="D34" s="11">
        <v>-65000</v>
      </c>
      <c r="E34" s="11"/>
      <c r="G34" s="14"/>
      <c r="H34" s="14"/>
      <c r="I34" s="14"/>
      <c r="J34" s="11">
        <v>-99000</v>
      </c>
      <c r="K34" s="11"/>
    </row>
    <row r="35" spans="1:11" x14ac:dyDescent="0.25">
      <c r="A35" s="11" t="s">
        <v>132</v>
      </c>
      <c r="B35" s="11"/>
      <c r="C35" s="11"/>
      <c r="D35" s="11">
        <v>1624</v>
      </c>
      <c r="E35" s="11"/>
      <c r="G35" s="14"/>
      <c r="H35" s="14"/>
      <c r="I35" s="14"/>
      <c r="J35" s="11">
        <v>1061</v>
      </c>
      <c r="K35" s="11"/>
    </row>
    <row r="36" spans="1:11" x14ac:dyDescent="0.25">
      <c r="A36" s="11" t="s">
        <v>135</v>
      </c>
      <c r="B36" s="11"/>
      <c r="C36" s="11"/>
      <c r="D36" s="11">
        <v>-574</v>
      </c>
      <c r="E36" s="11"/>
      <c r="G36" s="14"/>
      <c r="H36" s="14"/>
      <c r="I36" s="14"/>
      <c r="J36" s="11">
        <v>-657</v>
      </c>
      <c r="K36" s="11"/>
    </row>
    <row r="37" spans="1:11" x14ac:dyDescent="0.25">
      <c r="A37" s="11" t="s">
        <v>136</v>
      </c>
      <c r="B37" s="11"/>
      <c r="C37" s="11"/>
      <c r="D37" s="11">
        <v>-87191</v>
      </c>
      <c r="E37" s="11"/>
      <c r="G37" s="14"/>
      <c r="H37" s="14"/>
      <c r="I37" s="14"/>
      <c r="J37" s="11">
        <v>-67950</v>
      </c>
      <c r="K37" s="11"/>
    </row>
    <row r="38" spans="1:11" x14ac:dyDescent="0.25">
      <c r="A38" s="11" t="s">
        <v>137</v>
      </c>
      <c r="B38" s="11"/>
      <c r="C38" s="11"/>
      <c r="D38" s="11">
        <v>209</v>
      </c>
      <c r="E38" s="11"/>
      <c r="G38" s="14"/>
      <c r="H38" s="14"/>
      <c r="I38" s="14"/>
      <c r="J38" s="11">
        <v>311</v>
      </c>
      <c r="K38" s="11"/>
    </row>
    <row r="39" spans="1:11" x14ac:dyDescent="0.25">
      <c r="A39" s="11" t="s">
        <v>185</v>
      </c>
      <c r="B39" s="11"/>
      <c r="C39" s="11"/>
      <c r="D39" s="11">
        <v>-24247</v>
      </c>
      <c r="E39" s="11"/>
      <c r="G39" s="14"/>
      <c r="H39" s="14"/>
      <c r="I39" s="14"/>
      <c r="J39" s="11">
        <v>-17206</v>
      </c>
      <c r="K39" s="11"/>
    </row>
    <row r="40" spans="1:11" x14ac:dyDescent="0.25">
      <c r="A40" s="11" t="s">
        <v>138</v>
      </c>
      <c r="B40" s="11"/>
      <c r="C40" s="11"/>
      <c r="D40" s="11">
        <v>50052</v>
      </c>
      <c r="E40" s="11"/>
      <c r="G40" s="14"/>
      <c r="H40" s="14"/>
      <c r="I40" s="14"/>
      <c r="J40" s="11">
        <v>43537</v>
      </c>
      <c r="K40" s="11"/>
    </row>
    <row r="41" spans="1:11" x14ac:dyDescent="0.25">
      <c r="A41" s="11" t="s">
        <v>139</v>
      </c>
      <c r="B41" s="11"/>
      <c r="C41" s="11"/>
      <c r="D41" s="11">
        <v>25805</v>
      </c>
      <c r="E41" s="11"/>
      <c r="G41" s="14"/>
      <c r="H41" s="14"/>
      <c r="I41" s="14"/>
      <c r="J41" s="11">
        <v>26331</v>
      </c>
      <c r="K41" s="11"/>
    </row>
    <row r="42" spans="1:11" x14ac:dyDescent="0.25">
      <c r="A42" s="11" t="s">
        <v>140</v>
      </c>
      <c r="B42" s="11"/>
      <c r="C42" s="11"/>
      <c r="D42" s="14"/>
      <c r="E42" s="14"/>
      <c r="G42" s="14"/>
      <c r="H42" s="14"/>
      <c r="I42" s="14"/>
      <c r="J42" s="14"/>
      <c r="K42" s="14"/>
    </row>
    <row r="43" spans="1:11" x14ac:dyDescent="0.25">
      <c r="A43" s="11" t="s">
        <v>141</v>
      </c>
      <c r="B43" s="11"/>
      <c r="C43" s="11"/>
      <c r="D43" s="11">
        <v>5454</v>
      </c>
      <c r="E43" s="11"/>
      <c r="G43" s="14"/>
      <c r="H43" s="14"/>
      <c r="I43" s="14"/>
      <c r="J43" s="11">
        <v>2767</v>
      </c>
      <c r="K43" s="11"/>
    </row>
    <row r="44" spans="1:11" x14ac:dyDescent="0.25">
      <c r="A44" s="15" t="s">
        <v>142</v>
      </c>
      <c r="B44" s="15"/>
      <c r="C44" s="15"/>
      <c r="D44" s="15">
        <v>4882</v>
      </c>
      <c r="E44" s="15"/>
      <c r="J44" s="15">
        <v>5441</v>
      </c>
      <c r="K44" s="15"/>
    </row>
    <row r="46" spans="1:11" x14ac:dyDescent="0.25">
      <c r="D46" s="12">
        <f>SUM(D6:D44)</f>
        <v>25283</v>
      </c>
      <c r="J46" s="12">
        <f>SUM(J6:J44)</f>
        <v>20959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E3E7-F2C1-4C0D-B96D-F36DA2BFF546}">
  <sheetPr>
    <tabColor theme="9" tint="0.59999389629810485"/>
  </sheetPr>
  <dimension ref="A2:R56"/>
  <sheetViews>
    <sheetView workbookViewId="0"/>
  </sheetViews>
  <sheetFormatPr defaultRowHeight="15" x14ac:dyDescent="0.25"/>
  <cols>
    <col min="1" max="1" width="53" style="21" customWidth="1"/>
    <col min="2" max="3" width="9.140625" style="21"/>
    <col min="4" max="4" width="25" style="21" bestFit="1" customWidth="1"/>
    <col min="5" max="9" width="9" style="21" customWidth="1"/>
    <col min="10" max="10" width="13.7109375" style="21" bestFit="1" customWidth="1"/>
    <col min="11" max="15" width="9" style="21" customWidth="1"/>
    <col min="16" max="16" width="12.28515625" style="21" bestFit="1" customWidth="1"/>
    <col min="17" max="18" width="9" style="21" customWidth="1"/>
    <col min="19" max="16384" width="9.140625" style="21"/>
  </cols>
  <sheetData>
    <row r="2" spans="1:18" x14ac:dyDescent="0.25">
      <c r="A2" s="22" t="s">
        <v>158</v>
      </c>
      <c r="B2" s="22"/>
      <c r="C2" s="22"/>
      <c r="D2" s="22"/>
      <c r="E2" s="22"/>
      <c r="F2" s="22"/>
    </row>
    <row r="4" spans="1:18" x14ac:dyDescent="0.25">
      <c r="A4" s="22"/>
      <c r="B4" s="22"/>
      <c r="C4" s="22"/>
      <c r="D4" s="22" t="s">
        <v>152</v>
      </c>
      <c r="E4" s="22"/>
      <c r="F4" s="22"/>
      <c r="G4" s="22"/>
      <c r="H4" s="22"/>
      <c r="I4" s="22"/>
      <c r="J4" s="22"/>
      <c r="K4" s="22"/>
      <c r="L4" s="22"/>
    </row>
    <row r="5" spans="1:18" ht="39.950000000000003" customHeight="1" x14ac:dyDescent="0.25">
      <c r="A5" s="22"/>
      <c r="B5" s="22"/>
      <c r="C5" s="22"/>
      <c r="D5" s="23" t="s">
        <v>50</v>
      </c>
      <c r="E5" s="23"/>
      <c r="F5" s="23"/>
      <c r="G5" s="22"/>
      <c r="H5" s="22"/>
      <c r="I5" s="22"/>
      <c r="J5" s="23" t="s">
        <v>150</v>
      </c>
      <c r="K5" s="23"/>
      <c r="L5" s="23"/>
      <c r="P5" s="23" t="s">
        <v>153</v>
      </c>
      <c r="Q5" s="23"/>
      <c r="R5" s="23"/>
    </row>
    <row r="6" spans="1:18" x14ac:dyDescent="0.25">
      <c r="A6" s="22"/>
      <c r="B6" s="22"/>
      <c r="C6" s="22"/>
      <c r="D6" s="22" t="s">
        <v>154</v>
      </c>
      <c r="E6" s="22"/>
      <c r="F6" s="22"/>
      <c r="G6" s="22"/>
      <c r="H6" s="22"/>
      <c r="I6" s="22"/>
      <c r="J6" s="22" t="s">
        <v>155</v>
      </c>
      <c r="K6" s="22"/>
      <c r="L6" s="22"/>
      <c r="P6" s="21" t="s">
        <v>154</v>
      </c>
    </row>
    <row r="7" spans="1:18" s="15" customFormat="1" x14ac:dyDescent="0.25">
      <c r="A7" s="11" t="s">
        <v>109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8" s="15" customFormat="1" x14ac:dyDescent="0.25">
      <c r="A8" s="11" t="s">
        <v>101</v>
      </c>
      <c r="B8" s="11"/>
      <c r="C8" s="11"/>
      <c r="D8" s="28">
        <v>343107</v>
      </c>
      <c r="E8" s="11"/>
      <c r="G8" s="11"/>
      <c r="H8" s="11"/>
      <c r="I8" s="11"/>
      <c r="J8" s="11">
        <v>340482</v>
      </c>
      <c r="K8" s="11"/>
      <c r="P8" s="15">
        <v>217937</v>
      </c>
    </row>
    <row r="9" spans="1:18" x14ac:dyDescent="0.25">
      <c r="A9" s="22" t="s">
        <v>110</v>
      </c>
      <c r="B9" s="22"/>
      <c r="C9" s="22"/>
      <c r="D9" s="22"/>
      <c r="E9" s="22"/>
      <c r="G9" s="22"/>
      <c r="H9" s="22"/>
      <c r="I9" s="22"/>
      <c r="J9" s="22"/>
      <c r="K9" s="22"/>
    </row>
    <row r="10" spans="1:18" x14ac:dyDescent="0.25">
      <c r="A10" s="22" t="s">
        <v>111</v>
      </c>
      <c r="B10" s="22"/>
      <c r="C10" s="22"/>
      <c r="D10" s="22">
        <v>75129</v>
      </c>
      <c r="E10" s="22"/>
      <c r="G10" s="22"/>
      <c r="H10" s="22"/>
      <c r="I10" s="22"/>
      <c r="J10" s="22">
        <v>70376</v>
      </c>
      <c r="K10" s="22"/>
      <c r="P10" s="21">
        <v>68846</v>
      </c>
    </row>
    <row r="11" spans="1:18" x14ac:dyDescent="0.25">
      <c r="A11" s="22" t="s">
        <v>113</v>
      </c>
      <c r="B11" s="22"/>
      <c r="C11" s="22"/>
      <c r="D11" s="22">
        <v>20966</v>
      </c>
      <c r="E11" s="22"/>
      <c r="G11" s="22"/>
      <c r="H11" s="22"/>
      <c r="I11" s="22"/>
      <c r="J11" s="22">
        <v>17190</v>
      </c>
      <c r="K11" s="22"/>
      <c r="P11" s="21">
        <v>18578</v>
      </c>
    </row>
    <row r="12" spans="1:18" x14ac:dyDescent="0.25">
      <c r="A12" s="22" t="s">
        <v>114</v>
      </c>
      <c r="B12" s="22"/>
      <c r="C12" s="22"/>
      <c r="D12" s="22">
        <v>18639</v>
      </c>
      <c r="E12" s="22"/>
      <c r="G12" s="22"/>
      <c r="H12" s="22"/>
      <c r="I12" s="22"/>
      <c r="J12" s="22">
        <v>19264</v>
      </c>
      <c r="K12" s="22"/>
      <c r="P12" s="21">
        <v>17721</v>
      </c>
    </row>
    <row r="13" spans="1:18" x14ac:dyDescent="0.25">
      <c r="A13" s="22" t="s">
        <v>115</v>
      </c>
      <c r="B13" s="22"/>
      <c r="C13" s="22"/>
      <c r="D13" s="22">
        <v>557</v>
      </c>
      <c r="E13" s="22"/>
      <c r="G13" s="22"/>
      <c r="H13" s="22"/>
      <c r="I13" s="22"/>
      <c r="J13" s="22">
        <v>921</v>
      </c>
      <c r="K13" s="22"/>
      <c r="P13" s="21">
        <v>563</v>
      </c>
    </row>
    <row r="14" spans="1:18" x14ac:dyDescent="0.25">
      <c r="A14" s="22" t="s">
        <v>157</v>
      </c>
      <c r="B14" s="22"/>
      <c r="C14" s="22"/>
      <c r="D14" s="22" t="s">
        <v>78</v>
      </c>
      <c r="E14" s="22"/>
      <c r="G14" s="22"/>
      <c r="H14" s="22"/>
      <c r="I14" s="22"/>
      <c r="J14" s="22">
        <v>-10132</v>
      </c>
      <c r="K14" s="22"/>
      <c r="P14" s="21" t="s">
        <v>78</v>
      </c>
    </row>
    <row r="15" spans="1:18" x14ac:dyDescent="0.25">
      <c r="A15" s="22" t="s">
        <v>159</v>
      </c>
      <c r="B15" s="22"/>
      <c r="C15" s="22"/>
      <c r="D15" s="22" t="s">
        <v>78</v>
      </c>
      <c r="E15" s="22"/>
      <c r="G15" s="22"/>
      <c r="H15" s="22"/>
      <c r="I15" s="22"/>
      <c r="J15" s="22" t="s">
        <v>78</v>
      </c>
      <c r="K15" s="22"/>
      <c r="P15" s="21">
        <v>30091</v>
      </c>
    </row>
    <row r="16" spans="1:18" x14ac:dyDescent="0.25">
      <c r="A16" s="22" t="s">
        <v>160</v>
      </c>
      <c r="B16" s="22"/>
      <c r="C16" s="22"/>
      <c r="D16" s="22" t="s">
        <v>78</v>
      </c>
      <c r="E16" s="22"/>
      <c r="G16" s="22"/>
      <c r="H16" s="22"/>
      <c r="I16" s="22"/>
      <c r="J16" s="22" t="s">
        <v>78</v>
      </c>
      <c r="K16" s="22"/>
      <c r="P16" s="21">
        <v>16335</v>
      </c>
    </row>
    <row r="17" spans="1:16" x14ac:dyDescent="0.25">
      <c r="A17" s="22" t="s">
        <v>116</v>
      </c>
      <c r="B17" s="22"/>
      <c r="C17" s="22"/>
      <c r="D17" s="22">
        <v>104</v>
      </c>
      <c r="E17" s="22"/>
      <c r="G17" s="22"/>
      <c r="H17" s="22"/>
      <c r="I17" s="22"/>
      <c r="J17" s="22">
        <v>-879</v>
      </c>
      <c r="K17" s="22"/>
      <c r="P17" s="21" t="s">
        <v>78</v>
      </c>
    </row>
    <row r="18" spans="1:16" x14ac:dyDescent="0.25">
      <c r="A18" s="22" t="s">
        <v>117</v>
      </c>
      <c r="B18" s="22"/>
      <c r="C18" s="22"/>
      <c r="D18" s="22">
        <v>10275</v>
      </c>
      <c r="E18" s="22"/>
      <c r="G18" s="22"/>
      <c r="H18" s="22"/>
      <c r="I18" s="22"/>
      <c r="J18" s="22">
        <v>9806</v>
      </c>
      <c r="K18" s="22"/>
      <c r="P18" s="21">
        <v>8181</v>
      </c>
    </row>
    <row r="19" spans="1:16" x14ac:dyDescent="0.25">
      <c r="A19" s="22" t="s">
        <v>73</v>
      </c>
      <c r="B19" s="22"/>
      <c r="C19" s="22"/>
      <c r="D19" s="22">
        <v>6697</v>
      </c>
      <c r="E19" s="22"/>
      <c r="F19" s="22"/>
      <c r="G19" s="22"/>
      <c r="H19" s="22"/>
      <c r="I19" s="22"/>
      <c r="J19" s="22">
        <v>10761</v>
      </c>
      <c r="K19" s="22"/>
      <c r="L19" s="22"/>
      <c r="P19" s="21">
        <v>-13611</v>
      </c>
    </row>
    <row r="20" spans="1:16" x14ac:dyDescent="0.25">
      <c r="A20" s="22" t="s">
        <v>161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6" x14ac:dyDescent="0.25">
      <c r="A21" s="22" t="s">
        <v>120</v>
      </c>
      <c r="B21" s="22"/>
      <c r="C21" s="22"/>
      <c r="D21" s="22">
        <v>247653</v>
      </c>
      <c r="E21" s="22"/>
      <c r="G21" s="22"/>
      <c r="H21" s="22"/>
      <c r="I21" s="22"/>
      <c r="J21" s="22">
        <v>-123571</v>
      </c>
      <c r="K21" s="22"/>
      <c r="P21" s="21">
        <v>-73041</v>
      </c>
    </row>
    <row r="22" spans="1:16" x14ac:dyDescent="0.25">
      <c r="A22" s="22" t="s">
        <v>55</v>
      </c>
      <c r="B22" s="22"/>
      <c r="C22" s="22"/>
      <c r="D22" s="22">
        <v>-4860</v>
      </c>
      <c r="E22" s="22"/>
      <c r="G22" s="22"/>
      <c r="H22" s="22"/>
      <c r="I22" s="22"/>
      <c r="J22" s="22">
        <v>-81494</v>
      </c>
      <c r="K22" s="22"/>
      <c r="P22" s="21">
        <v>-107037</v>
      </c>
    </row>
    <row r="23" spans="1:16" x14ac:dyDescent="0.25">
      <c r="A23" s="22" t="s">
        <v>56</v>
      </c>
      <c r="B23" s="22"/>
      <c r="C23" s="22"/>
      <c r="D23" s="22">
        <v>-6918</v>
      </c>
      <c r="E23" s="22"/>
      <c r="G23" s="22"/>
      <c r="H23" s="22"/>
      <c r="I23" s="22"/>
      <c r="J23" s="22">
        <v>-7429</v>
      </c>
      <c r="K23" s="22"/>
      <c r="P23" s="21">
        <v>-10141</v>
      </c>
    </row>
    <row r="24" spans="1:16" x14ac:dyDescent="0.25">
      <c r="A24" s="22" t="s">
        <v>121</v>
      </c>
      <c r="B24" s="22"/>
      <c r="C24" s="22"/>
      <c r="D24" s="22">
        <v>-21173</v>
      </c>
      <c r="E24" s="22"/>
      <c r="G24" s="22"/>
      <c r="H24" s="22"/>
      <c r="I24" s="22"/>
      <c r="J24" s="22">
        <v>-17147</v>
      </c>
      <c r="K24" s="22"/>
      <c r="P24" s="21">
        <v>-33312</v>
      </c>
    </row>
    <row r="25" spans="1:16" x14ac:dyDescent="0.25">
      <c r="A25" s="22" t="s">
        <v>62</v>
      </c>
      <c r="B25" s="22"/>
      <c r="C25" s="22"/>
      <c r="D25" s="22">
        <v>-615</v>
      </c>
      <c r="E25" s="22"/>
      <c r="G25" s="22"/>
      <c r="H25" s="22"/>
      <c r="I25" s="22"/>
      <c r="J25" s="22">
        <v>-2258</v>
      </c>
      <c r="K25" s="22"/>
      <c r="P25" s="21">
        <v>-1055</v>
      </c>
    </row>
    <row r="26" spans="1:16" x14ac:dyDescent="0.25">
      <c r="A26" s="22" t="s">
        <v>122</v>
      </c>
      <c r="B26" s="22"/>
      <c r="C26" s="22"/>
      <c r="D26" s="22">
        <v>10021</v>
      </c>
      <c r="E26" s="22"/>
      <c r="G26" s="22"/>
      <c r="H26" s="22"/>
      <c r="I26" s="22"/>
      <c r="J26" s="22">
        <v>20293</v>
      </c>
      <c r="K26" s="22"/>
      <c r="P26" s="21">
        <v>84407</v>
      </c>
    </row>
    <row r="27" spans="1:16" x14ac:dyDescent="0.25">
      <c r="A27" s="22" t="s">
        <v>123</v>
      </c>
      <c r="B27" s="22"/>
      <c r="C27" s="22"/>
      <c r="D27" s="27">
        <v>356475</v>
      </c>
      <c r="E27" s="22"/>
      <c r="G27" s="22"/>
      <c r="H27" s="22"/>
      <c r="I27" s="22"/>
      <c r="J27" s="22">
        <v>-94299</v>
      </c>
      <c r="K27" s="22"/>
      <c r="P27" s="21">
        <v>6525</v>
      </c>
    </row>
    <row r="28" spans="1:16" s="15" customFormat="1" x14ac:dyDescent="0.25">
      <c r="A28" s="11" t="s">
        <v>124</v>
      </c>
      <c r="B28" s="11"/>
      <c r="C28" s="11"/>
      <c r="D28" s="11">
        <v>699582</v>
      </c>
      <c r="E28" s="11"/>
      <c r="G28" s="11"/>
      <c r="H28" s="11"/>
      <c r="I28" s="11"/>
      <c r="J28" s="11">
        <v>246183</v>
      </c>
      <c r="K28" s="11"/>
      <c r="P28" s="15">
        <v>224462</v>
      </c>
    </row>
    <row r="29" spans="1:16" x14ac:dyDescent="0.25">
      <c r="A29" s="22" t="s">
        <v>125</v>
      </c>
      <c r="B29" s="22"/>
      <c r="C29" s="22"/>
      <c r="D29" s="22"/>
      <c r="E29" s="22"/>
      <c r="G29" s="22"/>
      <c r="H29" s="22"/>
      <c r="I29" s="22"/>
      <c r="J29" s="22"/>
      <c r="K29" s="22"/>
    </row>
    <row r="30" spans="1:16" x14ac:dyDescent="0.25">
      <c r="A30" s="22" t="s">
        <v>126</v>
      </c>
      <c r="B30" s="22"/>
      <c r="C30" s="22"/>
      <c r="D30" s="22">
        <v>-92493</v>
      </c>
      <c r="E30" s="22"/>
      <c r="F30" s="22"/>
      <c r="G30" s="22"/>
      <c r="H30" s="22"/>
      <c r="I30" s="22"/>
      <c r="J30" s="22">
        <v>-61373</v>
      </c>
      <c r="K30" s="22"/>
      <c r="L30" s="22"/>
      <c r="P30" s="21">
        <v>-53746</v>
      </c>
    </row>
    <row r="31" spans="1:16" x14ac:dyDescent="0.25">
      <c r="A31" s="22" t="s">
        <v>148</v>
      </c>
      <c r="B31" s="22"/>
      <c r="C31" s="22"/>
      <c r="D31" s="22">
        <v>-20182</v>
      </c>
      <c r="E31" s="22"/>
      <c r="F31" s="22"/>
      <c r="G31" s="22"/>
      <c r="H31" s="22"/>
      <c r="I31" s="22"/>
      <c r="J31" s="22">
        <v>-57865</v>
      </c>
      <c r="K31" s="22"/>
      <c r="L31" s="22"/>
      <c r="P31" s="21">
        <v>-22000</v>
      </c>
    </row>
    <row r="32" spans="1:16" x14ac:dyDescent="0.25">
      <c r="A32" s="22" t="s">
        <v>162</v>
      </c>
      <c r="B32" s="22"/>
      <c r="C32" s="22"/>
      <c r="D32" s="22" t="s">
        <v>78</v>
      </c>
      <c r="E32" s="22"/>
      <c r="F32" s="22"/>
      <c r="G32" s="22"/>
      <c r="H32" s="22"/>
      <c r="I32" s="22"/>
      <c r="J32" s="22">
        <v>24745</v>
      </c>
      <c r="K32" s="22"/>
      <c r="L32" s="22"/>
      <c r="P32" s="21" t="s">
        <v>78</v>
      </c>
    </row>
    <row r="33" spans="1:16" s="15" customFormat="1" x14ac:dyDescent="0.25">
      <c r="A33" s="11" t="s">
        <v>127</v>
      </c>
      <c r="B33" s="11"/>
      <c r="C33" s="11"/>
      <c r="D33" s="11">
        <v>-112675</v>
      </c>
      <c r="E33" s="11"/>
      <c r="G33" s="11"/>
      <c r="H33" s="11"/>
      <c r="I33" s="11"/>
      <c r="J33" s="11">
        <v>-94493</v>
      </c>
      <c r="K33" s="11"/>
      <c r="P33" s="15">
        <v>-75746</v>
      </c>
    </row>
    <row r="34" spans="1:16" x14ac:dyDescent="0.25">
      <c r="A34" s="22" t="s">
        <v>128</v>
      </c>
      <c r="B34" s="22"/>
      <c r="C34" s="22"/>
      <c r="D34" s="22"/>
      <c r="E34" s="22"/>
      <c r="G34" s="22"/>
      <c r="H34" s="22"/>
      <c r="I34" s="22"/>
      <c r="J34" s="22"/>
      <c r="K34" s="22"/>
    </row>
    <row r="35" spans="1:16" x14ac:dyDescent="0.25">
      <c r="A35" s="22" t="s">
        <v>208</v>
      </c>
      <c r="B35" s="22"/>
      <c r="C35" s="22"/>
      <c r="D35" s="22">
        <v>-95779</v>
      </c>
      <c r="E35" s="22"/>
      <c r="G35" s="22"/>
      <c r="H35" s="22"/>
      <c r="I35" s="22"/>
      <c r="J35" s="22">
        <v>-27359</v>
      </c>
      <c r="K35" s="22"/>
      <c r="P35" s="21">
        <v>-71261</v>
      </c>
    </row>
    <row r="36" spans="1:16" x14ac:dyDescent="0.25">
      <c r="A36" s="22" t="s">
        <v>129</v>
      </c>
      <c r="B36" s="22"/>
      <c r="C36" s="22"/>
      <c r="D36" s="22">
        <v>-176715</v>
      </c>
      <c r="E36" s="22"/>
      <c r="G36" s="22"/>
      <c r="H36" s="22"/>
      <c r="I36" s="22"/>
      <c r="J36" s="22">
        <v>-167376</v>
      </c>
      <c r="K36" s="22"/>
      <c r="P36" s="21">
        <v>-167299</v>
      </c>
    </row>
    <row r="37" spans="1:16" x14ac:dyDescent="0.25">
      <c r="A37" s="22" t="s">
        <v>163</v>
      </c>
      <c r="B37" s="22"/>
      <c r="C37" s="22"/>
      <c r="D37" s="22" t="s">
        <v>78</v>
      </c>
      <c r="E37" s="22"/>
      <c r="G37" s="22"/>
      <c r="H37" s="22"/>
      <c r="I37" s="22"/>
      <c r="J37" s="22" t="s">
        <v>78</v>
      </c>
      <c r="K37" s="22"/>
      <c r="P37" s="21">
        <v>-195351</v>
      </c>
    </row>
    <row r="38" spans="1:16" x14ac:dyDescent="0.25">
      <c r="A38" s="22" t="s">
        <v>182</v>
      </c>
      <c r="B38" s="22"/>
      <c r="C38" s="22"/>
      <c r="D38" s="22">
        <v>4415</v>
      </c>
      <c r="E38" s="22"/>
      <c r="G38" s="22"/>
      <c r="H38" s="22"/>
      <c r="I38" s="22"/>
      <c r="J38" s="22">
        <v>4296</v>
      </c>
      <c r="K38" s="22"/>
      <c r="P38" s="21">
        <v>4136</v>
      </c>
    </row>
    <row r="39" spans="1:16" x14ac:dyDescent="0.25">
      <c r="A39" s="22" t="s">
        <v>183</v>
      </c>
      <c r="B39" s="22"/>
      <c r="C39" s="22"/>
      <c r="D39" s="22">
        <v>28677</v>
      </c>
      <c r="E39" s="22"/>
      <c r="G39" s="22"/>
      <c r="H39" s="22"/>
      <c r="I39" s="22"/>
      <c r="J39" s="22">
        <v>34659</v>
      </c>
      <c r="K39" s="22"/>
      <c r="P39" s="21">
        <v>29667</v>
      </c>
    </row>
    <row r="40" spans="1:16" x14ac:dyDescent="0.25">
      <c r="A40" s="22" t="s">
        <v>130</v>
      </c>
      <c r="B40" s="22"/>
      <c r="C40" s="22"/>
      <c r="D40" s="22">
        <v>333000</v>
      </c>
      <c r="E40" s="22"/>
      <c r="G40" s="22"/>
      <c r="H40" s="22"/>
      <c r="I40" s="22"/>
      <c r="J40" s="22">
        <v>374000</v>
      </c>
      <c r="K40" s="22"/>
      <c r="P40" s="21">
        <v>583500</v>
      </c>
    </row>
    <row r="41" spans="1:16" x14ac:dyDescent="0.25">
      <c r="A41" s="22" t="s">
        <v>131</v>
      </c>
      <c r="B41" s="22"/>
      <c r="C41" s="22"/>
      <c r="D41" s="22">
        <v>-548000</v>
      </c>
      <c r="E41" s="22"/>
      <c r="G41" s="22"/>
      <c r="H41" s="22"/>
      <c r="I41" s="22"/>
      <c r="J41" s="22">
        <v>-364500</v>
      </c>
      <c r="K41" s="22"/>
      <c r="P41" s="21">
        <v>-399200</v>
      </c>
    </row>
    <row r="42" spans="1:16" x14ac:dyDescent="0.25">
      <c r="A42" s="22" t="s">
        <v>164</v>
      </c>
      <c r="B42" s="22"/>
      <c r="C42" s="22"/>
      <c r="D42" s="22" t="s">
        <v>78</v>
      </c>
      <c r="E42" s="22"/>
      <c r="G42" s="22"/>
      <c r="H42" s="22"/>
      <c r="I42" s="22"/>
      <c r="J42" s="22" t="s">
        <v>78</v>
      </c>
      <c r="K42" s="22"/>
      <c r="P42" s="21">
        <v>100</v>
      </c>
    </row>
    <row r="43" spans="1:16" x14ac:dyDescent="0.25">
      <c r="A43" s="22" t="s">
        <v>134</v>
      </c>
      <c r="B43" s="22"/>
      <c r="C43" s="22"/>
      <c r="D43" s="22" t="s">
        <v>78</v>
      </c>
      <c r="E43" s="22"/>
      <c r="G43" s="22"/>
      <c r="H43" s="22"/>
      <c r="I43" s="22"/>
      <c r="J43" s="22" t="s">
        <v>78</v>
      </c>
      <c r="K43" s="22"/>
      <c r="P43" s="21">
        <v>4750</v>
      </c>
    </row>
    <row r="44" spans="1:16" x14ac:dyDescent="0.25">
      <c r="A44" s="21" t="s">
        <v>133</v>
      </c>
      <c r="D44" s="21">
        <v>-125000</v>
      </c>
      <c r="J44" s="21" t="s">
        <v>78</v>
      </c>
      <c r="P44" s="21">
        <v>-20000</v>
      </c>
    </row>
    <row r="45" spans="1:16" x14ac:dyDescent="0.25">
      <c r="A45" t="s">
        <v>184</v>
      </c>
      <c r="B45"/>
      <c r="C45"/>
      <c r="D45" s="24">
        <v>-2193</v>
      </c>
      <c r="E45" s="24"/>
      <c r="F45"/>
      <c r="G45"/>
      <c r="H45"/>
      <c r="I45"/>
      <c r="J45" s="24">
        <v>-2466</v>
      </c>
      <c r="K45" s="24"/>
      <c r="L45"/>
      <c r="M45"/>
      <c r="N45"/>
      <c r="O45"/>
      <c r="P45" s="24">
        <v>-2584</v>
      </c>
    </row>
    <row r="46" spans="1:16" x14ac:dyDescent="0.25">
      <c r="A46" t="s">
        <v>135</v>
      </c>
      <c r="B46"/>
      <c r="C46"/>
      <c r="D46" s="25">
        <v>1195</v>
      </c>
      <c r="E46" s="25"/>
      <c r="F46" s="25"/>
      <c r="G46"/>
      <c r="H46"/>
      <c r="I46"/>
      <c r="J46" s="25">
        <v>606</v>
      </c>
      <c r="K46" s="25"/>
      <c r="L46"/>
      <c r="M46"/>
      <c r="N46"/>
      <c r="O46"/>
      <c r="P46" s="24">
        <v>-205</v>
      </c>
    </row>
    <row r="47" spans="1:16" s="15" customFormat="1" x14ac:dyDescent="0.25">
      <c r="A47" s="4" t="s">
        <v>136</v>
      </c>
      <c r="B47" s="4"/>
      <c r="C47" s="4"/>
      <c r="D47" s="5">
        <v>-580400</v>
      </c>
      <c r="E47" s="5"/>
      <c r="F47" s="4"/>
      <c r="G47" s="4"/>
      <c r="H47" s="4"/>
      <c r="I47" s="4"/>
      <c r="J47" s="5">
        <v>-148140</v>
      </c>
      <c r="K47" s="5"/>
      <c r="L47" s="4"/>
      <c r="M47" s="4"/>
      <c r="N47" s="4"/>
      <c r="O47" s="4"/>
      <c r="P47" s="5">
        <v>-233747</v>
      </c>
    </row>
    <row r="48" spans="1:16" x14ac:dyDescent="0.25">
      <c r="A48" t="s">
        <v>137</v>
      </c>
      <c r="B48"/>
      <c r="C48"/>
      <c r="D48" s="25">
        <v>8</v>
      </c>
      <c r="E48" s="25"/>
      <c r="F48"/>
      <c r="G48"/>
      <c r="H48"/>
      <c r="I48"/>
      <c r="J48" s="24">
        <v>-549</v>
      </c>
      <c r="K48" s="24"/>
      <c r="L48" s="24"/>
      <c r="M48"/>
      <c r="N48"/>
      <c r="O48"/>
      <c r="P48" s="25">
        <v>356</v>
      </c>
    </row>
    <row r="49" spans="1:16" x14ac:dyDescent="0.25">
      <c r="A49" t="s">
        <v>185</v>
      </c>
      <c r="B49"/>
      <c r="C49"/>
      <c r="D49" s="25">
        <v>6515</v>
      </c>
      <c r="E49" s="25"/>
      <c r="F49" s="25"/>
      <c r="G49"/>
      <c r="H49"/>
      <c r="I49"/>
      <c r="J49" s="25">
        <v>3001</v>
      </c>
      <c r="K49" s="25"/>
      <c r="L49"/>
      <c r="M49"/>
      <c r="N49"/>
      <c r="O49"/>
      <c r="P49" s="24">
        <v>-84675</v>
      </c>
    </row>
    <row r="50" spans="1:16" x14ac:dyDescent="0.25">
      <c r="A50" t="s">
        <v>138</v>
      </c>
      <c r="B50"/>
      <c r="C50"/>
      <c r="D50" s="25">
        <v>43537</v>
      </c>
      <c r="E50" s="25"/>
      <c r="F50" s="25"/>
      <c r="G50"/>
      <c r="H50"/>
      <c r="I50"/>
      <c r="J50" s="25">
        <v>40536</v>
      </c>
      <c r="K50" s="25"/>
      <c r="L50" s="25"/>
      <c r="M50"/>
      <c r="N50"/>
      <c r="O50"/>
      <c r="P50" s="25">
        <v>125211</v>
      </c>
    </row>
    <row r="51" spans="1:16" x14ac:dyDescent="0.25">
      <c r="A51" t="s">
        <v>139</v>
      </c>
      <c r="B51"/>
      <c r="C51"/>
      <c r="D51" s="26">
        <v>50052</v>
      </c>
      <c r="E51" s="26"/>
      <c r="F51" s="26"/>
      <c r="G51"/>
      <c r="H51"/>
      <c r="I51"/>
      <c r="J51" s="26">
        <v>43537</v>
      </c>
      <c r="K51" s="26"/>
      <c r="L51" s="26"/>
      <c r="M51"/>
      <c r="N51"/>
      <c r="O51"/>
      <c r="P51" s="26">
        <v>40536</v>
      </c>
    </row>
    <row r="52" spans="1:16" x14ac:dyDescent="0.25">
      <c r="A52" t="s">
        <v>140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x14ac:dyDescent="0.25">
      <c r="A53" t="s">
        <v>141</v>
      </c>
      <c r="B53"/>
      <c r="C53"/>
      <c r="D53" s="26">
        <v>106962</v>
      </c>
      <c r="E53" s="26"/>
      <c r="F53" s="26"/>
      <c r="G53"/>
      <c r="H53"/>
      <c r="I53"/>
      <c r="J53" s="26">
        <v>117038</v>
      </c>
      <c r="K53" s="26"/>
      <c r="L53" s="26"/>
      <c r="M53"/>
      <c r="N53"/>
      <c r="O53"/>
      <c r="P53" s="26">
        <v>73116</v>
      </c>
    </row>
    <row r="54" spans="1:16" x14ac:dyDescent="0.25">
      <c r="A54" t="s">
        <v>142</v>
      </c>
      <c r="B54"/>
      <c r="C54"/>
      <c r="D54" s="26">
        <v>22432</v>
      </c>
      <c r="E54" s="26"/>
      <c r="F54" s="26"/>
      <c r="G54"/>
      <c r="H54"/>
      <c r="I54"/>
      <c r="J54" s="26">
        <v>16903</v>
      </c>
      <c r="K54" s="26"/>
      <c r="L54" s="26"/>
      <c r="M54"/>
      <c r="N54"/>
      <c r="O54"/>
      <c r="P54" s="26">
        <v>13995</v>
      </c>
    </row>
    <row r="55" spans="1:16" x14ac:dyDescent="0.25">
      <c r="A55"/>
      <c r="B55"/>
      <c r="C55"/>
      <c r="D55" s="26"/>
      <c r="E55" s="26"/>
      <c r="F55" s="26"/>
      <c r="G55"/>
      <c r="H55"/>
      <c r="I55"/>
      <c r="J55" s="26"/>
      <c r="K55" s="26"/>
      <c r="L55" s="26"/>
      <c r="M55"/>
      <c r="N55"/>
      <c r="O55"/>
      <c r="P55" s="26"/>
    </row>
    <row r="56" spans="1:16" x14ac:dyDescent="0.25">
      <c r="D56" s="21">
        <f>SUM(D8:D54)</f>
        <v>598995</v>
      </c>
      <c r="J56" s="21">
        <f>SUM(J8:J54)</f>
        <v>133267</v>
      </c>
      <c r="P56" s="21">
        <f>SUM(P8:P54)</f>
        <v>5002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F1D1-0747-4687-B011-0CC545C709D0}">
  <sheetPr>
    <tabColor theme="9" tint="0.59999389629810485"/>
  </sheetPr>
  <dimension ref="A2:L57"/>
  <sheetViews>
    <sheetView workbookViewId="0"/>
  </sheetViews>
  <sheetFormatPr defaultRowHeight="15" x14ac:dyDescent="0.25"/>
  <cols>
    <col min="1" max="1" width="100.7109375" style="12" customWidth="1"/>
    <col min="2" max="3" width="9.140625" style="12"/>
    <col min="4" max="4" width="10.7109375" style="12" customWidth="1"/>
    <col min="5" max="6" width="9.140625" style="12"/>
    <col min="7" max="7" width="10.7109375" style="12" customWidth="1"/>
    <col min="8" max="9" width="9.140625" style="12"/>
    <col min="10" max="10" width="10.7109375" style="12" customWidth="1"/>
    <col min="11" max="16384" width="9.140625" style="12"/>
  </cols>
  <sheetData>
    <row r="2" spans="1:12" x14ac:dyDescent="0.25">
      <c r="A2" s="11" t="s">
        <v>178</v>
      </c>
      <c r="B2" s="11"/>
      <c r="C2" s="11"/>
      <c r="D2" s="11"/>
      <c r="E2" s="11"/>
      <c r="F2" s="11"/>
    </row>
    <row r="4" spans="1:12" x14ac:dyDescent="0.25">
      <c r="A4" s="14"/>
      <c r="B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5">
      <c r="A5" s="14"/>
      <c r="B5" s="14"/>
      <c r="D5" s="11" t="s">
        <v>152</v>
      </c>
      <c r="E5" s="11"/>
      <c r="F5" s="11"/>
      <c r="G5" s="11"/>
      <c r="H5" s="11"/>
      <c r="I5" s="11"/>
      <c r="J5" s="11"/>
      <c r="K5" s="14"/>
      <c r="L5" s="14"/>
    </row>
    <row r="6" spans="1:12" x14ac:dyDescent="0.25">
      <c r="A6" s="14"/>
      <c r="B6" s="14"/>
      <c r="D6" s="11" t="s">
        <v>166</v>
      </c>
      <c r="E6" s="11"/>
      <c r="F6" s="14"/>
      <c r="G6" s="11" t="s">
        <v>167</v>
      </c>
      <c r="H6" s="11"/>
      <c r="I6" s="14"/>
      <c r="J6" s="11" t="s">
        <v>174</v>
      </c>
      <c r="K6" s="14"/>
      <c r="L6" s="14"/>
    </row>
    <row r="7" spans="1:12" x14ac:dyDescent="0.25">
      <c r="A7" s="14"/>
      <c r="B7" s="14"/>
      <c r="D7" s="11" t="s">
        <v>168</v>
      </c>
      <c r="E7" s="11"/>
      <c r="F7" s="14"/>
      <c r="G7" s="11" t="s">
        <v>169</v>
      </c>
      <c r="H7" s="11"/>
      <c r="I7" s="14"/>
      <c r="J7" s="11" t="s">
        <v>175</v>
      </c>
      <c r="K7" s="14"/>
      <c r="L7" s="14"/>
    </row>
    <row r="8" spans="1:12" x14ac:dyDescent="0.25">
      <c r="A8" s="14"/>
      <c r="B8" s="14"/>
      <c r="D8" s="11" t="s">
        <v>155</v>
      </c>
      <c r="E8" s="11"/>
      <c r="F8" s="14"/>
      <c r="G8" s="15" t="s">
        <v>154</v>
      </c>
      <c r="H8" s="11"/>
      <c r="I8" s="14"/>
      <c r="J8" s="11" t="s">
        <v>154</v>
      </c>
      <c r="K8" s="14"/>
    </row>
    <row r="9" spans="1:12" x14ac:dyDescent="0.25">
      <c r="A9" s="14" t="s">
        <v>109</v>
      </c>
      <c r="B9" s="14"/>
      <c r="D9" s="14"/>
      <c r="E9" s="14"/>
      <c r="F9" s="14"/>
      <c r="H9" s="14"/>
      <c r="I9" s="14"/>
      <c r="J9" s="14"/>
      <c r="K9" s="14"/>
    </row>
    <row r="10" spans="1:12" x14ac:dyDescent="0.25">
      <c r="A10" s="14" t="s">
        <v>101</v>
      </c>
      <c r="B10" s="14"/>
      <c r="D10" s="14">
        <v>340482</v>
      </c>
      <c r="E10" s="14"/>
      <c r="F10" s="14"/>
      <c r="G10" s="12">
        <v>217937</v>
      </c>
      <c r="H10" s="14"/>
      <c r="I10" s="14"/>
      <c r="J10" s="14">
        <v>251758</v>
      </c>
      <c r="K10" s="14"/>
    </row>
    <row r="11" spans="1:12" ht="39.950000000000003" customHeight="1" x14ac:dyDescent="0.25">
      <c r="A11" s="16" t="s">
        <v>179</v>
      </c>
      <c r="B11" s="14"/>
      <c r="C11" s="14"/>
      <c r="D11" s="14"/>
      <c r="E11" s="14"/>
      <c r="G11" s="14"/>
      <c r="H11" s="14"/>
      <c r="I11" s="14"/>
      <c r="J11" s="14"/>
      <c r="K11" s="14"/>
    </row>
    <row r="12" spans="1:12" x14ac:dyDescent="0.25">
      <c r="A12" s="14" t="s">
        <v>111</v>
      </c>
      <c r="B12" s="14"/>
      <c r="C12" s="14"/>
      <c r="D12" s="14">
        <v>70376</v>
      </c>
      <c r="E12" s="14"/>
      <c r="G12" s="14">
        <v>68846</v>
      </c>
      <c r="H12" s="14"/>
      <c r="I12" s="14"/>
      <c r="J12" s="14">
        <v>69079</v>
      </c>
      <c r="K12" s="14"/>
    </row>
    <row r="13" spans="1:12" x14ac:dyDescent="0.25">
      <c r="A13" s="14" t="s">
        <v>113</v>
      </c>
      <c r="B13" s="14"/>
      <c r="C13" s="14"/>
      <c r="D13" s="14">
        <v>17190</v>
      </c>
      <c r="E13" s="14"/>
      <c r="G13" s="14">
        <v>18578</v>
      </c>
      <c r="H13" s="14"/>
      <c r="I13" s="14"/>
      <c r="J13" s="14">
        <v>22696</v>
      </c>
      <c r="K13" s="14"/>
    </row>
    <row r="14" spans="1:12" x14ac:dyDescent="0.25">
      <c r="A14" s="14" t="s">
        <v>114</v>
      </c>
      <c r="B14" s="14"/>
      <c r="C14" s="14"/>
      <c r="D14" s="14">
        <v>19264</v>
      </c>
      <c r="E14" s="14"/>
      <c r="G14" s="14">
        <v>17721</v>
      </c>
      <c r="H14" s="14"/>
      <c r="I14" s="14"/>
      <c r="J14" s="14">
        <v>16932</v>
      </c>
      <c r="K14" s="14"/>
    </row>
    <row r="15" spans="1:12" x14ac:dyDescent="0.25">
      <c r="A15" s="14" t="s">
        <v>115</v>
      </c>
      <c r="B15" s="14"/>
      <c r="C15" s="14"/>
      <c r="D15" s="14">
        <v>921</v>
      </c>
      <c r="E15" s="14"/>
      <c r="G15" s="14">
        <v>563</v>
      </c>
      <c r="H15" s="14"/>
      <c r="I15" s="14"/>
      <c r="J15" s="14">
        <v>802</v>
      </c>
      <c r="K15" s="14"/>
    </row>
    <row r="16" spans="1:12" x14ac:dyDescent="0.25">
      <c r="A16" s="14" t="s">
        <v>157</v>
      </c>
      <c r="B16" s="14"/>
      <c r="C16" s="14"/>
      <c r="D16" s="14">
        <v>-10132</v>
      </c>
      <c r="E16" s="14"/>
      <c r="G16" s="14" t="s">
        <v>78</v>
      </c>
      <c r="H16" s="14"/>
      <c r="I16" s="14"/>
      <c r="J16" s="14" t="s">
        <v>78</v>
      </c>
      <c r="K16" s="14"/>
    </row>
    <row r="17" spans="1:12" x14ac:dyDescent="0.25">
      <c r="A17" s="14" t="s">
        <v>159</v>
      </c>
      <c r="B17" s="14"/>
      <c r="C17" s="14"/>
      <c r="D17" s="14" t="s">
        <v>78</v>
      </c>
      <c r="E17" s="14"/>
      <c r="G17" s="14">
        <v>30091</v>
      </c>
      <c r="H17" s="14"/>
      <c r="I17" s="14"/>
      <c r="J17" s="14" t="s">
        <v>78</v>
      </c>
      <c r="K17" s="14"/>
    </row>
    <row r="18" spans="1:12" x14ac:dyDescent="0.25">
      <c r="A18" s="14" t="s">
        <v>160</v>
      </c>
      <c r="B18" s="14"/>
      <c r="C18" s="14"/>
      <c r="D18" s="14" t="s">
        <v>78</v>
      </c>
      <c r="E18" s="14"/>
      <c r="G18" s="14">
        <v>16335</v>
      </c>
      <c r="H18" s="14"/>
      <c r="I18" s="14"/>
      <c r="J18" s="14" t="s">
        <v>78</v>
      </c>
      <c r="K18" s="14"/>
    </row>
    <row r="19" spans="1:12" x14ac:dyDescent="0.25">
      <c r="A19" s="14" t="s">
        <v>116</v>
      </c>
      <c r="B19" s="14"/>
      <c r="C19" s="14"/>
      <c r="D19" s="14">
        <v>-879</v>
      </c>
      <c r="E19" s="14"/>
      <c r="F19" s="14"/>
      <c r="G19" s="14" t="s">
        <v>78</v>
      </c>
      <c r="H19" s="14"/>
      <c r="I19" s="14"/>
      <c r="J19" s="14" t="s">
        <v>78</v>
      </c>
      <c r="K19" s="14"/>
      <c r="L19" s="14"/>
    </row>
    <row r="20" spans="1:12" x14ac:dyDescent="0.25">
      <c r="A20" s="14" t="s">
        <v>117</v>
      </c>
      <c r="B20" s="14"/>
      <c r="C20" s="14"/>
      <c r="D20" s="14">
        <v>9806</v>
      </c>
      <c r="E20" s="14"/>
      <c r="F20" s="14"/>
      <c r="G20" s="14">
        <v>8181</v>
      </c>
      <c r="H20" s="14"/>
      <c r="I20" s="14"/>
      <c r="J20" s="14">
        <v>11008</v>
      </c>
      <c r="K20" s="14"/>
      <c r="L20" s="14"/>
    </row>
    <row r="21" spans="1:12" x14ac:dyDescent="0.25">
      <c r="A21" s="14" t="s">
        <v>73</v>
      </c>
      <c r="B21" s="14"/>
      <c r="C21" s="14"/>
      <c r="D21" s="14">
        <v>10761</v>
      </c>
      <c r="E21" s="14"/>
      <c r="G21" s="14">
        <v>-13611</v>
      </c>
      <c r="H21" s="14"/>
      <c r="I21" s="14"/>
      <c r="J21" s="14">
        <v>7719</v>
      </c>
      <c r="K21" s="14"/>
    </row>
    <row r="22" spans="1:12" ht="39.950000000000003" customHeight="1" x14ac:dyDescent="0.25">
      <c r="A22" s="16" t="s">
        <v>180</v>
      </c>
      <c r="B22" s="14"/>
      <c r="C22" s="14"/>
      <c r="D22" s="14"/>
      <c r="E22" s="14"/>
      <c r="G22" s="14"/>
      <c r="H22" s="14"/>
      <c r="I22" s="14"/>
      <c r="J22" s="14"/>
      <c r="K22" s="14"/>
    </row>
    <row r="23" spans="1:12" x14ac:dyDescent="0.25">
      <c r="A23" s="14" t="s">
        <v>120</v>
      </c>
      <c r="B23" s="14"/>
      <c r="C23" s="14"/>
      <c r="D23" s="14">
        <v>-123571</v>
      </c>
      <c r="E23" s="14"/>
      <c r="G23" s="14">
        <v>-73041</v>
      </c>
      <c r="H23" s="14"/>
      <c r="I23" s="14"/>
      <c r="J23" s="14">
        <v>36772</v>
      </c>
      <c r="K23" s="14"/>
    </row>
    <row r="24" spans="1:12" x14ac:dyDescent="0.25">
      <c r="A24" s="14" t="s">
        <v>55</v>
      </c>
      <c r="B24" s="14"/>
      <c r="C24" s="14"/>
      <c r="D24" s="14">
        <v>-81494</v>
      </c>
      <c r="E24" s="14"/>
      <c r="G24" s="14">
        <v>-107037</v>
      </c>
      <c r="H24" s="14"/>
      <c r="I24" s="14"/>
      <c r="J24" s="14">
        <v>16462</v>
      </c>
      <c r="K24" s="14"/>
    </row>
    <row r="25" spans="1:12" x14ac:dyDescent="0.25">
      <c r="A25" s="14" t="s">
        <v>56</v>
      </c>
      <c r="B25" s="14"/>
      <c r="C25" s="14"/>
      <c r="D25" s="14">
        <v>-7429</v>
      </c>
      <c r="E25" s="14"/>
      <c r="G25" s="14">
        <v>-10141</v>
      </c>
      <c r="H25" s="14"/>
      <c r="I25" s="14"/>
      <c r="J25" s="14">
        <v>-11540</v>
      </c>
      <c r="K25" s="14"/>
    </row>
    <row r="26" spans="1:12" x14ac:dyDescent="0.25">
      <c r="A26" s="14" t="s">
        <v>121</v>
      </c>
      <c r="B26" s="14"/>
      <c r="C26" s="14"/>
      <c r="D26" s="14">
        <v>-17147</v>
      </c>
      <c r="E26" s="14"/>
      <c r="G26" s="14">
        <v>-33312</v>
      </c>
      <c r="H26" s="14"/>
      <c r="I26" s="14"/>
      <c r="J26" s="14">
        <v>-22184</v>
      </c>
      <c r="K26" s="14"/>
    </row>
    <row r="27" spans="1:12" x14ac:dyDescent="0.25">
      <c r="A27" s="14" t="s">
        <v>62</v>
      </c>
      <c r="B27" s="14"/>
      <c r="C27" s="14"/>
      <c r="D27" s="14">
        <v>-2258</v>
      </c>
      <c r="E27" s="14"/>
      <c r="G27" s="14">
        <v>-1055</v>
      </c>
      <c r="H27" s="14"/>
      <c r="I27" s="14"/>
      <c r="J27" s="14">
        <v>2809</v>
      </c>
      <c r="K27" s="14"/>
    </row>
    <row r="28" spans="1:12" x14ac:dyDescent="0.25">
      <c r="A28" s="14" t="s">
        <v>122</v>
      </c>
      <c r="B28" s="14"/>
      <c r="C28" s="14"/>
      <c r="D28" s="14">
        <v>20293</v>
      </c>
      <c r="E28" s="14"/>
      <c r="G28" s="14">
        <v>84407</v>
      </c>
      <c r="H28" s="14"/>
      <c r="I28" s="14"/>
      <c r="J28" s="14">
        <v>-5574</v>
      </c>
      <c r="K28" s="14"/>
    </row>
    <row r="29" spans="1:12" x14ac:dyDescent="0.25">
      <c r="A29" s="11" t="s">
        <v>123</v>
      </c>
      <c r="B29" s="14"/>
      <c r="C29" s="14"/>
      <c r="D29" s="14">
        <v>-94299</v>
      </c>
      <c r="E29" s="14"/>
      <c r="G29" s="14">
        <v>6525</v>
      </c>
      <c r="H29" s="14"/>
      <c r="I29" s="14"/>
      <c r="J29" s="14">
        <v>144981</v>
      </c>
      <c r="K29" s="14"/>
    </row>
    <row r="30" spans="1:12" x14ac:dyDescent="0.25">
      <c r="A30" s="14" t="s">
        <v>124</v>
      </c>
      <c r="B30" s="14"/>
      <c r="C30" s="14"/>
      <c r="D30" s="14">
        <v>246183</v>
      </c>
      <c r="E30" s="14"/>
      <c r="F30" s="14"/>
      <c r="G30" s="14">
        <v>224462</v>
      </c>
      <c r="H30" s="14"/>
      <c r="I30" s="14"/>
      <c r="J30" s="14">
        <v>396739</v>
      </c>
      <c r="K30" s="14"/>
      <c r="L30" s="14"/>
    </row>
    <row r="31" spans="1:12" x14ac:dyDescent="0.25">
      <c r="A31" s="14" t="s">
        <v>125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 x14ac:dyDescent="0.25">
      <c r="A32" s="14" t="s">
        <v>126</v>
      </c>
      <c r="B32" s="14"/>
      <c r="C32" s="14"/>
      <c r="D32" s="14">
        <v>-61373</v>
      </c>
      <c r="E32" s="14"/>
      <c r="F32" s="14"/>
      <c r="G32" s="14">
        <v>-53746</v>
      </c>
      <c r="H32" s="14"/>
      <c r="I32" s="14"/>
      <c r="J32" s="14">
        <v>-46991</v>
      </c>
      <c r="K32" s="14"/>
      <c r="L32" s="14"/>
    </row>
    <row r="33" spans="1:11" x14ac:dyDescent="0.25">
      <c r="A33" s="14" t="s">
        <v>148</v>
      </c>
      <c r="B33" s="14"/>
      <c r="C33" s="14"/>
      <c r="D33" s="14">
        <v>-57865</v>
      </c>
      <c r="E33" s="14"/>
      <c r="G33" s="14">
        <v>-22000</v>
      </c>
      <c r="H33" s="14"/>
      <c r="I33" s="14"/>
      <c r="J33" s="14">
        <v>-2286</v>
      </c>
      <c r="K33" s="14"/>
    </row>
    <row r="34" spans="1:11" x14ac:dyDescent="0.25">
      <c r="A34" s="14" t="s">
        <v>162</v>
      </c>
      <c r="B34" s="14"/>
      <c r="C34" s="14"/>
      <c r="D34" s="14">
        <v>24745</v>
      </c>
      <c r="E34" s="14"/>
      <c r="G34" s="14" t="s">
        <v>78</v>
      </c>
      <c r="H34" s="14"/>
      <c r="I34" s="14"/>
      <c r="J34" s="14" t="s">
        <v>78</v>
      </c>
      <c r="K34" s="14"/>
    </row>
    <row r="35" spans="1:11" x14ac:dyDescent="0.25">
      <c r="A35" s="14" t="s">
        <v>127</v>
      </c>
      <c r="B35" s="14"/>
      <c r="C35" s="14"/>
      <c r="D35" s="14">
        <v>-94493</v>
      </c>
      <c r="E35" s="14"/>
      <c r="G35" s="14">
        <v>-75746</v>
      </c>
      <c r="H35" s="14"/>
      <c r="I35" s="14"/>
      <c r="J35" s="14">
        <v>-49277</v>
      </c>
      <c r="K35" s="14"/>
    </row>
    <row r="36" spans="1:11" x14ac:dyDescent="0.25">
      <c r="A36" s="14" t="s">
        <v>128</v>
      </c>
      <c r="B36" s="14"/>
      <c r="C36" s="14"/>
      <c r="D36" s="14"/>
      <c r="E36" s="14"/>
      <c r="G36" s="14"/>
      <c r="H36" s="14"/>
      <c r="I36" s="14"/>
      <c r="J36" s="14"/>
      <c r="K36" s="14"/>
    </row>
    <row r="37" spans="1:11" x14ac:dyDescent="0.25">
      <c r="A37" s="14" t="s">
        <v>181</v>
      </c>
      <c r="B37" s="14"/>
      <c r="C37" s="14"/>
      <c r="D37" s="14">
        <v>-27359</v>
      </c>
      <c r="E37" s="14"/>
      <c r="G37" s="14">
        <v>-71261</v>
      </c>
      <c r="H37" s="14"/>
      <c r="I37" s="14"/>
      <c r="J37" s="14">
        <v>-3444</v>
      </c>
      <c r="K37" s="14"/>
    </row>
    <row r="38" spans="1:11" x14ac:dyDescent="0.25">
      <c r="A38" s="14" t="s">
        <v>129</v>
      </c>
      <c r="B38" s="14"/>
      <c r="C38" s="14"/>
      <c r="D38" s="14">
        <v>-167376</v>
      </c>
      <c r="E38" s="14"/>
      <c r="G38" s="14">
        <v>-167299</v>
      </c>
      <c r="H38" s="14"/>
      <c r="I38" s="14"/>
      <c r="J38" s="14">
        <v>-166537</v>
      </c>
      <c r="K38" s="14"/>
    </row>
    <row r="39" spans="1:11" x14ac:dyDescent="0.25">
      <c r="A39" s="14" t="s">
        <v>163</v>
      </c>
      <c r="B39" s="14"/>
      <c r="C39" s="14"/>
      <c r="D39" s="14" t="s">
        <v>78</v>
      </c>
      <c r="E39" s="14"/>
      <c r="G39" s="14">
        <v>-195351</v>
      </c>
      <c r="H39" s="14"/>
      <c r="I39" s="14"/>
      <c r="J39" s="14">
        <v>-277634</v>
      </c>
      <c r="K39" s="14"/>
    </row>
    <row r="40" spans="1:11" x14ac:dyDescent="0.25">
      <c r="A40" s="14" t="s">
        <v>182</v>
      </c>
      <c r="B40" s="14"/>
      <c r="C40" s="14"/>
      <c r="D40" s="14">
        <v>4296</v>
      </c>
      <c r="E40" s="14"/>
      <c r="G40" s="14">
        <v>4136</v>
      </c>
      <c r="H40" s="14"/>
      <c r="I40" s="14"/>
      <c r="J40" s="14">
        <v>4140</v>
      </c>
      <c r="K40" s="14"/>
    </row>
    <row r="41" spans="1:11" x14ac:dyDescent="0.25">
      <c r="A41" s="14" t="s">
        <v>183</v>
      </c>
      <c r="B41" s="14"/>
      <c r="C41" s="14"/>
      <c r="D41" s="14">
        <v>34659</v>
      </c>
      <c r="E41" s="14"/>
      <c r="G41" s="14">
        <v>29667</v>
      </c>
      <c r="H41" s="14"/>
      <c r="I41" s="14"/>
      <c r="J41" s="14">
        <v>13687</v>
      </c>
      <c r="K41" s="14"/>
    </row>
    <row r="42" spans="1:11" x14ac:dyDescent="0.25">
      <c r="A42" s="14" t="s">
        <v>130</v>
      </c>
      <c r="B42" s="14"/>
      <c r="C42" s="14"/>
      <c r="D42" s="14">
        <v>374000</v>
      </c>
      <c r="E42" s="14"/>
      <c r="G42" s="14">
        <v>583500</v>
      </c>
      <c r="H42" s="14"/>
      <c r="I42" s="14"/>
      <c r="J42" s="14">
        <v>1012200</v>
      </c>
      <c r="K42" s="14"/>
    </row>
    <row r="43" spans="1:11" x14ac:dyDescent="0.25">
      <c r="A43" s="14" t="s">
        <v>131</v>
      </c>
      <c r="B43" s="14"/>
      <c r="C43" s="14"/>
      <c r="D43" s="14">
        <v>-364500</v>
      </c>
      <c r="E43" s="14"/>
      <c r="G43" s="14">
        <v>-399200</v>
      </c>
      <c r="H43" s="14"/>
      <c r="I43" s="14"/>
      <c r="J43" s="14">
        <v>-916000</v>
      </c>
      <c r="K43" s="14"/>
    </row>
    <row r="44" spans="1:11" x14ac:dyDescent="0.25">
      <c r="A44" s="12" t="s">
        <v>164</v>
      </c>
      <c r="D44" s="12" t="s">
        <v>78</v>
      </c>
      <c r="G44" s="12">
        <v>100</v>
      </c>
      <c r="J44" s="12">
        <v>104</v>
      </c>
    </row>
    <row r="45" spans="1:11" x14ac:dyDescent="0.25">
      <c r="A45" s="12" t="s">
        <v>134</v>
      </c>
      <c r="D45" s="12" t="s">
        <v>78</v>
      </c>
      <c r="G45" s="12">
        <v>4750</v>
      </c>
      <c r="J45" s="12">
        <v>100000</v>
      </c>
    </row>
    <row r="46" spans="1:11" x14ac:dyDescent="0.25">
      <c r="A46" s="12" t="s">
        <v>133</v>
      </c>
      <c r="D46" s="12" t="s">
        <v>78</v>
      </c>
      <c r="G46" s="12">
        <v>-20000</v>
      </c>
      <c r="J46" s="12">
        <v>-20000</v>
      </c>
    </row>
    <row r="47" spans="1:11" x14ac:dyDescent="0.25">
      <c r="A47" s="12" t="s">
        <v>184</v>
      </c>
      <c r="D47" s="12">
        <v>-2466</v>
      </c>
      <c r="G47" s="12">
        <v>-2584</v>
      </c>
      <c r="J47" s="12">
        <v>-2189</v>
      </c>
    </row>
    <row r="48" spans="1:11" x14ac:dyDescent="0.25">
      <c r="A48" s="12" t="s">
        <v>135</v>
      </c>
      <c r="D48" s="12">
        <v>606</v>
      </c>
      <c r="G48" s="12">
        <v>-205</v>
      </c>
      <c r="J48" s="12">
        <v>1055</v>
      </c>
    </row>
    <row r="49" spans="1:10" x14ac:dyDescent="0.25">
      <c r="A49" s="12" t="s">
        <v>136</v>
      </c>
      <c r="D49" s="12">
        <v>-148140</v>
      </c>
      <c r="G49" s="12">
        <v>-233747</v>
      </c>
      <c r="J49" s="12">
        <v>-254618</v>
      </c>
    </row>
    <row r="50" spans="1:10" x14ac:dyDescent="0.25">
      <c r="A50" s="12" t="s">
        <v>137</v>
      </c>
      <c r="D50" s="12">
        <v>-549</v>
      </c>
      <c r="G50" s="12">
        <v>356</v>
      </c>
      <c r="J50" s="12">
        <v>81</v>
      </c>
    </row>
    <row r="51" spans="1:10" x14ac:dyDescent="0.25">
      <c r="A51" s="12" t="s">
        <v>185</v>
      </c>
      <c r="D51" s="12">
        <v>3001</v>
      </c>
      <c r="G51" s="12">
        <v>-84675</v>
      </c>
      <c r="J51" s="12">
        <v>92925</v>
      </c>
    </row>
    <row r="52" spans="1:10" x14ac:dyDescent="0.25">
      <c r="A52" s="12" t="s">
        <v>138</v>
      </c>
      <c r="D52" s="12">
        <v>40536</v>
      </c>
      <c r="G52" s="12">
        <v>125211</v>
      </c>
      <c r="J52" s="12">
        <v>32286</v>
      </c>
    </row>
    <row r="53" spans="1:10" x14ac:dyDescent="0.25">
      <c r="A53" s="12" t="s">
        <v>139</v>
      </c>
      <c r="D53" s="12">
        <v>43537</v>
      </c>
      <c r="G53" s="12">
        <v>40536</v>
      </c>
      <c r="J53" s="12">
        <v>125211</v>
      </c>
    </row>
    <row r="54" spans="1:10" x14ac:dyDescent="0.25">
      <c r="A54" s="12" t="s">
        <v>140</v>
      </c>
    </row>
    <row r="55" spans="1:10" x14ac:dyDescent="0.25">
      <c r="A55" s="12" t="s">
        <v>141</v>
      </c>
      <c r="D55" s="12">
        <v>117038</v>
      </c>
      <c r="G55" s="12">
        <v>73116</v>
      </c>
      <c r="J55" s="12">
        <v>68929</v>
      </c>
    </row>
    <row r="56" spans="1:10" x14ac:dyDescent="0.25">
      <c r="A56" s="12" t="s">
        <v>142</v>
      </c>
      <c r="D56" s="12">
        <v>16903</v>
      </c>
      <c r="G56" s="12">
        <v>13995</v>
      </c>
      <c r="J56" s="12">
        <v>14973</v>
      </c>
    </row>
    <row r="57" spans="1:10" x14ac:dyDescent="0.25">
      <c r="A57" s="12" t="s">
        <v>172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6B1B-8771-472E-941F-0E6A9970A88E}">
  <sheetPr>
    <tabColor theme="9" tint="0.59999389629810485"/>
  </sheetPr>
  <dimension ref="A2:L56"/>
  <sheetViews>
    <sheetView workbookViewId="0"/>
  </sheetViews>
  <sheetFormatPr defaultRowHeight="15" x14ac:dyDescent="0.25"/>
  <cols>
    <col min="1" max="1" width="100.7109375" style="12" customWidth="1"/>
    <col min="2" max="3" width="9.140625" style="12"/>
    <col min="4" max="4" width="10.7109375" style="12" customWidth="1"/>
    <col min="5" max="6" width="9.140625" style="12"/>
    <col min="7" max="7" width="10.7109375" style="12" customWidth="1"/>
    <col min="8" max="9" width="9.140625" style="12"/>
    <col min="10" max="10" width="10.7109375" style="12" customWidth="1"/>
    <col min="11" max="16384" width="9.140625" style="12"/>
  </cols>
  <sheetData>
    <row r="2" spans="1:12" x14ac:dyDescent="0.25">
      <c r="A2" s="11" t="s">
        <v>178</v>
      </c>
      <c r="B2" s="11"/>
      <c r="C2" s="11"/>
      <c r="D2" s="11"/>
      <c r="E2" s="11"/>
      <c r="F2" s="11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5">
      <c r="A5" s="14"/>
      <c r="B5" s="14"/>
      <c r="D5" s="11" t="s">
        <v>152</v>
      </c>
      <c r="E5" s="11"/>
      <c r="F5" s="11"/>
      <c r="G5" s="11"/>
      <c r="H5" s="11"/>
      <c r="I5" s="11"/>
      <c r="J5" s="11"/>
      <c r="K5" s="14"/>
      <c r="L5" s="14"/>
    </row>
    <row r="6" spans="1:12" x14ac:dyDescent="0.25">
      <c r="A6" s="14"/>
      <c r="B6" s="14"/>
      <c r="D6" s="11" t="s">
        <v>167</v>
      </c>
      <c r="E6" s="11"/>
      <c r="F6" s="14"/>
      <c r="G6" s="11" t="s">
        <v>174</v>
      </c>
      <c r="H6" s="11"/>
      <c r="I6" s="14"/>
      <c r="J6" s="11" t="s">
        <v>189</v>
      </c>
      <c r="K6" s="14"/>
      <c r="L6" s="14"/>
    </row>
    <row r="7" spans="1:12" x14ac:dyDescent="0.25">
      <c r="A7" s="14"/>
      <c r="B7" s="14"/>
      <c r="D7" s="11" t="s">
        <v>169</v>
      </c>
      <c r="E7" s="11"/>
      <c r="F7" s="14"/>
      <c r="G7" s="11" t="s">
        <v>175</v>
      </c>
      <c r="H7" s="11"/>
      <c r="I7" s="14"/>
      <c r="J7" s="11" t="s">
        <v>188</v>
      </c>
      <c r="K7" s="14"/>
      <c r="L7" s="14"/>
    </row>
    <row r="8" spans="1:12" x14ac:dyDescent="0.25">
      <c r="A8" s="14"/>
      <c r="B8" s="14"/>
      <c r="D8" s="11" t="s">
        <v>154</v>
      </c>
      <c r="E8" s="11"/>
      <c r="F8" s="14"/>
      <c r="G8" s="15" t="s">
        <v>154</v>
      </c>
      <c r="H8" s="11"/>
      <c r="I8" s="14"/>
      <c r="J8" s="11" t="s">
        <v>154</v>
      </c>
      <c r="K8" s="14"/>
    </row>
    <row r="9" spans="1:12" x14ac:dyDescent="0.25">
      <c r="A9" s="14" t="s">
        <v>109</v>
      </c>
      <c r="B9" s="14"/>
      <c r="D9" s="14"/>
      <c r="E9" s="14"/>
      <c r="F9" s="14"/>
      <c r="H9" s="14"/>
      <c r="I9" s="14"/>
      <c r="J9" s="14"/>
      <c r="K9" s="14"/>
    </row>
    <row r="10" spans="1:12" x14ac:dyDescent="0.25">
      <c r="A10" s="14" t="s">
        <v>101</v>
      </c>
      <c r="B10" s="14"/>
      <c r="D10" s="14">
        <v>217937</v>
      </c>
      <c r="E10" s="14"/>
      <c r="F10" s="14"/>
      <c r="G10" s="12">
        <v>251758</v>
      </c>
      <c r="H10" s="14"/>
      <c r="I10" s="14"/>
      <c r="J10" s="14">
        <v>288797</v>
      </c>
      <c r="K10" s="14"/>
    </row>
    <row r="11" spans="1:12" ht="39.950000000000003" customHeight="1" x14ac:dyDescent="0.25">
      <c r="A11" s="16" t="s">
        <v>179</v>
      </c>
      <c r="B11" s="14"/>
      <c r="C11" s="14"/>
      <c r="D11" s="14"/>
      <c r="E11" s="14"/>
      <c r="G11" s="14"/>
      <c r="H11" s="14"/>
      <c r="I11" s="14"/>
      <c r="J11" s="14"/>
      <c r="K11" s="14"/>
    </row>
    <row r="12" spans="1:12" x14ac:dyDescent="0.25">
      <c r="A12" s="14" t="s">
        <v>111</v>
      </c>
      <c r="B12" s="14"/>
      <c r="C12" s="14"/>
      <c r="D12" s="14">
        <v>68846</v>
      </c>
      <c r="E12" s="14"/>
      <c r="G12" s="14">
        <v>69079</v>
      </c>
      <c r="H12" s="14"/>
      <c r="I12" s="14"/>
      <c r="J12" s="14">
        <v>65377</v>
      </c>
      <c r="K12" s="14"/>
    </row>
    <row r="13" spans="1:12" x14ac:dyDescent="0.25">
      <c r="A13" s="14" t="s">
        <v>113</v>
      </c>
      <c r="B13" s="14"/>
      <c r="C13" s="14"/>
      <c r="D13" s="14">
        <v>18578</v>
      </c>
      <c r="E13" s="14"/>
      <c r="G13" s="14">
        <v>22696</v>
      </c>
      <c r="H13" s="14"/>
      <c r="I13" s="14"/>
      <c r="J13" s="14" t="s">
        <v>78</v>
      </c>
      <c r="K13" s="14"/>
    </row>
    <row r="14" spans="1:12" x14ac:dyDescent="0.25">
      <c r="A14" s="14" t="s">
        <v>114</v>
      </c>
      <c r="B14" s="14"/>
      <c r="C14" s="14"/>
      <c r="D14" s="14">
        <v>17721</v>
      </c>
      <c r="E14" s="14"/>
      <c r="G14" s="14">
        <v>16932</v>
      </c>
      <c r="H14" s="14"/>
      <c r="I14" s="14"/>
      <c r="J14" s="14">
        <v>16283</v>
      </c>
      <c r="K14" s="14"/>
    </row>
    <row r="15" spans="1:12" x14ac:dyDescent="0.25">
      <c r="A15" s="14" t="s">
        <v>115</v>
      </c>
      <c r="B15" s="14"/>
      <c r="C15" s="14"/>
      <c r="D15" s="14">
        <v>563</v>
      </c>
      <c r="E15" s="14"/>
      <c r="G15" s="14">
        <v>802</v>
      </c>
      <c r="H15" s="14"/>
      <c r="I15" s="14"/>
      <c r="J15" s="14">
        <v>416</v>
      </c>
      <c r="K15" s="14"/>
    </row>
    <row r="16" spans="1:12" x14ac:dyDescent="0.25">
      <c r="A16" s="14" t="s">
        <v>159</v>
      </c>
      <c r="B16" s="14"/>
      <c r="C16" s="14"/>
      <c r="D16" s="14">
        <v>30091</v>
      </c>
      <c r="E16" s="14"/>
      <c r="G16" s="14" t="s">
        <v>78</v>
      </c>
      <c r="H16" s="14"/>
      <c r="I16" s="14"/>
      <c r="J16" s="14" t="s">
        <v>78</v>
      </c>
      <c r="K16" s="14"/>
    </row>
    <row r="17" spans="1:12" x14ac:dyDescent="0.25">
      <c r="A17" s="14" t="s">
        <v>160</v>
      </c>
      <c r="B17" s="14"/>
      <c r="C17" s="14"/>
      <c r="D17" s="14">
        <v>16335</v>
      </c>
      <c r="E17" s="14"/>
      <c r="G17" s="14" t="s">
        <v>78</v>
      </c>
      <c r="H17" s="14"/>
      <c r="I17" s="14"/>
      <c r="J17" s="14" t="s">
        <v>78</v>
      </c>
      <c r="K17" s="14"/>
    </row>
    <row r="18" spans="1:12" x14ac:dyDescent="0.25">
      <c r="A18" s="14" t="s">
        <v>117</v>
      </c>
      <c r="B18" s="14"/>
      <c r="C18" s="14"/>
      <c r="D18" s="14">
        <v>8181</v>
      </c>
      <c r="E18" s="14"/>
      <c r="G18" s="14">
        <v>11008</v>
      </c>
      <c r="H18" s="14"/>
      <c r="I18" s="14"/>
      <c r="J18" s="14">
        <v>10763</v>
      </c>
      <c r="K18" s="14"/>
    </row>
    <row r="19" spans="1:12" x14ac:dyDescent="0.25">
      <c r="A19" s="14" t="s">
        <v>73</v>
      </c>
      <c r="B19" s="14"/>
      <c r="C19" s="14"/>
      <c r="D19" s="14">
        <v>-13611</v>
      </c>
      <c r="E19" s="14"/>
      <c r="F19" s="14"/>
      <c r="G19" s="14">
        <v>7719</v>
      </c>
      <c r="H19" s="14"/>
      <c r="I19" s="14"/>
      <c r="J19" s="14">
        <v>14297</v>
      </c>
      <c r="K19" s="14"/>
      <c r="L19" s="14"/>
    </row>
    <row r="20" spans="1:12" ht="39.950000000000003" customHeight="1" x14ac:dyDescent="0.25">
      <c r="A20" s="16" t="s">
        <v>180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 x14ac:dyDescent="0.25">
      <c r="A21" s="14" t="s">
        <v>120</v>
      </c>
      <c r="B21" s="14"/>
      <c r="C21" s="14"/>
      <c r="D21" s="14">
        <v>-73041</v>
      </c>
      <c r="E21" s="14"/>
      <c r="G21" s="14">
        <v>36772</v>
      </c>
      <c r="H21" s="14"/>
      <c r="I21" s="14"/>
      <c r="J21" s="14">
        <v>-26948</v>
      </c>
      <c r="K21" s="14"/>
    </row>
    <row r="22" spans="1:12" x14ac:dyDescent="0.25">
      <c r="A22" s="14" t="s">
        <v>55</v>
      </c>
      <c r="B22" s="14"/>
      <c r="C22" s="14"/>
      <c r="D22" s="14">
        <v>-107037</v>
      </c>
      <c r="E22" s="14"/>
      <c r="G22" s="14">
        <v>16462</v>
      </c>
      <c r="H22" s="14"/>
      <c r="I22" s="14"/>
      <c r="J22" s="14">
        <v>-32528</v>
      </c>
      <c r="K22" s="14"/>
    </row>
    <row r="23" spans="1:12" x14ac:dyDescent="0.25">
      <c r="A23" s="14" t="s">
        <v>56</v>
      </c>
      <c r="B23" s="14"/>
      <c r="C23" s="14"/>
      <c r="D23" s="14">
        <v>-10141</v>
      </c>
      <c r="E23" s="14"/>
      <c r="G23" s="14">
        <v>-11540</v>
      </c>
      <c r="H23" s="14"/>
      <c r="I23" s="14"/>
      <c r="J23" s="14">
        <v>-8316</v>
      </c>
      <c r="K23" s="14"/>
    </row>
    <row r="24" spans="1:12" x14ac:dyDescent="0.25">
      <c r="A24" s="14" t="s">
        <v>121</v>
      </c>
      <c r="B24" s="14"/>
      <c r="C24" s="14"/>
      <c r="D24" s="14">
        <v>-33312</v>
      </c>
      <c r="E24" s="14"/>
      <c r="G24" s="14">
        <v>-22184</v>
      </c>
      <c r="H24" s="14"/>
      <c r="I24" s="14"/>
      <c r="J24" s="14" t="s">
        <v>78</v>
      </c>
      <c r="K24" s="14"/>
    </row>
    <row r="25" spans="1:12" x14ac:dyDescent="0.25">
      <c r="A25" s="14" t="s">
        <v>62</v>
      </c>
      <c r="B25" s="14"/>
      <c r="C25" s="14"/>
      <c r="D25" s="14">
        <v>-1055</v>
      </c>
      <c r="E25" s="14"/>
      <c r="G25" s="14">
        <v>2809</v>
      </c>
      <c r="H25" s="14"/>
      <c r="I25" s="14"/>
      <c r="J25" s="14">
        <v>-2064</v>
      </c>
      <c r="K25" s="14"/>
    </row>
    <row r="26" spans="1:12" x14ac:dyDescent="0.25">
      <c r="A26" s="14" t="s">
        <v>122</v>
      </c>
      <c r="B26" s="14"/>
      <c r="C26" s="14"/>
      <c r="D26" s="14">
        <v>84407</v>
      </c>
      <c r="E26" s="14"/>
      <c r="G26" s="14">
        <v>-5574</v>
      </c>
      <c r="H26" s="14"/>
      <c r="I26" s="14"/>
      <c r="J26" s="14">
        <v>2349</v>
      </c>
      <c r="K26" s="14"/>
    </row>
    <row r="27" spans="1:12" x14ac:dyDescent="0.25">
      <c r="A27" s="11" t="s">
        <v>123</v>
      </c>
      <c r="B27" s="14"/>
      <c r="C27" s="14"/>
      <c r="D27" s="14">
        <v>6525</v>
      </c>
      <c r="E27" s="14"/>
      <c r="G27" s="14">
        <v>144981</v>
      </c>
      <c r="H27" s="14"/>
      <c r="I27" s="14"/>
      <c r="J27" s="14">
        <v>39629</v>
      </c>
      <c r="K27" s="14"/>
    </row>
    <row r="28" spans="1:12" x14ac:dyDescent="0.25">
      <c r="A28" s="14" t="s">
        <v>124</v>
      </c>
      <c r="B28" s="14"/>
      <c r="C28" s="14"/>
      <c r="D28" s="14">
        <v>224462</v>
      </c>
      <c r="E28" s="14"/>
      <c r="G28" s="14">
        <v>396739</v>
      </c>
      <c r="H28" s="14"/>
      <c r="I28" s="14"/>
      <c r="J28" s="14">
        <v>328426</v>
      </c>
      <c r="K28" s="14"/>
    </row>
    <row r="29" spans="1:12" x14ac:dyDescent="0.25">
      <c r="A29" s="14" t="s">
        <v>125</v>
      </c>
      <c r="B29" s="14"/>
      <c r="C29" s="14"/>
      <c r="D29" s="14"/>
      <c r="E29" s="14"/>
      <c r="G29" s="14"/>
      <c r="H29" s="14"/>
      <c r="I29" s="14"/>
      <c r="J29" s="14"/>
      <c r="K29" s="14"/>
    </row>
    <row r="30" spans="1:12" x14ac:dyDescent="0.25">
      <c r="A30" s="14" t="s">
        <v>126</v>
      </c>
      <c r="B30" s="14"/>
      <c r="C30" s="14"/>
      <c r="D30" s="14">
        <v>-53746</v>
      </c>
      <c r="E30" s="14"/>
      <c r="F30" s="14"/>
      <c r="G30" s="14">
        <v>-46991</v>
      </c>
      <c r="H30" s="14"/>
      <c r="I30" s="14"/>
      <c r="J30" s="14">
        <v>-51773</v>
      </c>
      <c r="K30" s="14"/>
      <c r="L30" s="14"/>
    </row>
    <row r="31" spans="1:12" x14ac:dyDescent="0.25">
      <c r="A31" s="14" t="s">
        <v>190</v>
      </c>
      <c r="B31" s="14"/>
      <c r="C31" s="14"/>
      <c r="D31" s="14" t="s">
        <v>78</v>
      </c>
      <c r="E31" s="14"/>
      <c r="F31" s="14"/>
      <c r="G31" s="14" t="s">
        <v>78</v>
      </c>
      <c r="H31" s="14"/>
      <c r="I31" s="14"/>
      <c r="J31" s="14">
        <v>27025</v>
      </c>
      <c r="K31" s="14"/>
      <c r="L31" s="14"/>
    </row>
    <row r="32" spans="1:12" x14ac:dyDescent="0.25">
      <c r="A32" s="14" t="s">
        <v>148</v>
      </c>
      <c r="B32" s="14"/>
      <c r="C32" s="14"/>
      <c r="D32" s="14">
        <v>-22000</v>
      </c>
      <c r="E32" s="14"/>
      <c r="F32" s="14"/>
      <c r="G32" s="14">
        <v>-2286</v>
      </c>
      <c r="H32" s="14"/>
      <c r="I32" s="14"/>
      <c r="J32" s="14">
        <v>-11625</v>
      </c>
      <c r="K32" s="14"/>
      <c r="L32" s="14"/>
    </row>
    <row r="33" spans="1:11" x14ac:dyDescent="0.25">
      <c r="A33" s="14" t="s">
        <v>127</v>
      </c>
      <c r="B33" s="14"/>
      <c r="C33" s="14"/>
      <c r="D33" s="14">
        <v>-75746</v>
      </c>
      <c r="E33" s="14"/>
      <c r="G33" s="14">
        <v>-49277</v>
      </c>
      <c r="H33" s="14"/>
      <c r="I33" s="14"/>
      <c r="J33" s="14">
        <v>-36373</v>
      </c>
      <c r="K33" s="14"/>
    </row>
    <row r="34" spans="1:11" x14ac:dyDescent="0.25">
      <c r="A34" s="14" t="s">
        <v>128</v>
      </c>
      <c r="B34" s="14"/>
      <c r="C34" s="14"/>
      <c r="D34" s="14"/>
      <c r="E34" s="14"/>
      <c r="G34" s="14"/>
      <c r="H34" s="14"/>
      <c r="I34" s="14"/>
      <c r="J34" s="14"/>
      <c r="K34" s="14"/>
    </row>
    <row r="35" spans="1:11" x14ac:dyDescent="0.25">
      <c r="A35" s="14" t="s">
        <v>181</v>
      </c>
      <c r="B35" s="14"/>
      <c r="C35" s="14"/>
      <c r="D35" s="14">
        <v>-71261</v>
      </c>
      <c r="E35" s="14"/>
      <c r="G35" s="14">
        <v>-3444</v>
      </c>
      <c r="H35" s="14"/>
      <c r="I35" s="14"/>
      <c r="J35" s="14">
        <v>-84611</v>
      </c>
      <c r="K35" s="14"/>
    </row>
    <row r="36" spans="1:11" x14ac:dyDescent="0.25">
      <c r="A36" s="14" t="s">
        <v>129</v>
      </c>
      <c r="B36" s="14"/>
      <c r="C36" s="14"/>
      <c r="D36" s="14">
        <v>-167299</v>
      </c>
      <c r="E36" s="14"/>
      <c r="G36" s="14">
        <v>-166537</v>
      </c>
      <c r="H36" s="14"/>
      <c r="I36" s="14"/>
      <c r="J36" s="14">
        <v>-145709</v>
      </c>
      <c r="K36" s="14"/>
    </row>
    <row r="37" spans="1:11" x14ac:dyDescent="0.25">
      <c r="A37" s="14" t="s">
        <v>163</v>
      </c>
      <c r="B37" s="14"/>
      <c r="C37" s="14"/>
      <c r="D37" s="14">
        <v>-195351</v>
      </c>
      <c r="E37" s="14"/>
      <c r="G37" s="14">
        <v>-277634</v>
      </c>
      <c r="H37" s="14"/>
      <c r="I37" s="14"/>
      <c r="J37" s="14" t="s">
        <v>78</v>
      </c>
      <c r="K37" s="14"/>
    </row>
    <row r="38" spans="1:11" x14ac:dyDescent="0.25">
      <c r="A38" s="14" t="s">
        <v>182</v>
      </c>
      <c r="B38" s="14"/>
      <c r="C38" s="14"/>
      <c r="D38" s="14">
        <v>4136</v>
      </c>
      <c r="E38" s="14"/>
      <c r="G38" s="14">
        <v>4140</v>
      </c>
      <c r="H38" s="14"/>
      <c r="I38" s="14"/>
      <c r="J38" s="14">
        <v>4600</v>
      </c>
      <c r="K38" s="14"/>
    </row>
    <row r="39" spans="1:11" x14ac:dyDescent="0.25">
      <c r="A39" s="14" t="s">
        <v>183</v>
      </c>
      <c r="B39" s="14"/>
      <c r="C39" s="14"/>
      <c r="D39" s="14">
        <v>29667</v>
      </c>
      <c r="E39" s="14"/>
      <c r="G39" s="14">
        <v>13687</v>
      </c>
      <c r="H39" s="14"/>
      <c r="I39" s="14"/>
      <c r="J39" s="14">
        <v>15640</v>
      </c>
      <c r="K39" s="14"/>
    </row>
    <row r="40" spans="1:11" x14ac:dyDescent="0.25">
      <c r="A40" s="14" t="s">
        <v>130</v>
      </c>
      <c r="B40" s="14"/>
      <c r="C40" s="14"/>
      <c r="D40" s="14">
        <v>583500</v>
      </c>
      <c r="E40" s="14"/>
      <c r="G40" s="14">
        <v>1012200</v>
      </c>
      <c r="H40" s="14"/>
      <c r="I40" s="14"/>
      <c r="J40" s="14">
        <v>382000</v>
      </c>
      <c r="K40" s="14"/>
    </row>
    <row r="41" spans="1:11" x14ac:dyDescent="0.25">
      <c r="A41" s="14" t="s">
        <v>131</v>
      </c>
      <c r="B41" s="14"/>
      <c r="C41" s="14"/>
      <c r="D41" s="14">
        <v>-399200</v>
      </c>
      <c r="E41" s="14"/>
      <c r="G41" s="14">
        <v>-916000</v>
      </c>
      <c r="H41" s="14"/>
      <c r="I41" s="14"/>
      <c r="J41" s="14">
        <v>-451000</v>
      </c>
      <c r="K41" s="14"/>
    </row>
    <row r="42" spans="1:11" x14ac:dyDescent="0.25">
      <c r="A42" s="14" t="s">
        <v>164</v>
      </c>
      <c r="B42" s="14"/>
      <c r="C42" s="14"/>
      <c r="D42" s="14">
        <v>100</v>
      </c>
      <c r="E42" s="14"/>
      <c r="G42" s="14">
        <v>104</v>
      </c>
      <c r="H42" s="14"/>
      <c r="I42" s="14"/>
      <c r="J42" s="14">
        <v>918</v>
      </c>
      <c r="K42" s="14"/>
    </row>
    <row r="43" spans="1:11" x14ac:dyDescent="0.25">
      <c r="A43" s="14" t="s">
        <v>134</v>
      </c>
      <c r="B43" s="14"/>
      <c r="C43" s="14"/>
      <c r="D43" s="14">
        <v>4750</v>
      </c>
      <c r="E43" s="14"/>
      <c r="G43" s="14">
        <v>100000</v>
      </c>
      <c r="H43" s="14"/>
      <c r="I43" s="14"/>
      <c r="J43" s="14" t="s">
        <v>78</v>
      </c>
      <c r="K43" s="14"/>
    </row>
    <row r="44" spans="1:11" x14ac:dyDescent="0.25">
      <c r="A44" s="12" t="s">
        <v>133</v>
      </c>
      <c r="D44" s="12">
        <v>-20000</v>
      </c>
      <c r="G44" s="12">
        <v>-20000</v>
      </c>
      <c r="J44" s="12" t="s">
        <v>78</v>
      </c>
    </row>
    <row r="45" spans="1:11" x14ac:dyDescent="0.25">
      <c r="A45" s="12" t="s">
        <v>184</v>
      </c>
      <c r="D45" s="12">
        <v>-2584</v>
      </c>
      <c r="G45" s="12">
        <v>-2189</v>
      </c>
      <c r="J45" s="12">
        <v>-28370</v>
      </c>
    </row>
    <row r="46" spans="1:11" x14ac:dyDescent="0.25">
      <c r="A46" s="12" t="s">
        <v>135</v>
      </c>
      <c r="D46" s="12">
        <v>-205</v>
      </c>
      <c r="G46" s="12">
        <v>1055</v>
      </c>
      <c r="J46" s="12">
        <v>903</v>
      </c>
    </row>
    <row r="47" spans="1:11" x14ac:dyDescent="0.25">
      <c r="A47" s="12" t="s">
        <v>136</v>
      </c>
      <c r="D47" s="12">
        <v>-233747</v>
      </c>
      <c r="G47" s="12">
        <v>-254618</v>
      </c>
      <c r="J47" s="12">
        <v>-305629</v>
      </c>
    </row>
    <row r="48" spans="1:11" x14ac:dyDescent="0.25">
      <c r="A48" s="12" t="s">
        <v>137</v>
      </c>
      <c r="D48" s="12">
        <v>356</v>
      </c>
      <c r="G48" s="12">
        <v>81</v>
      </c>
      <c r="J48" s="12">
        <v>-355</v>
      </c>
    </row>
    <row r="49" spans="1:10" x14ac:dyDescent="0.25">
      <c r="A49" s="12" t="s">
        <v>185</v>
      </c>
      <c r="D49" s="12">
        <v>-84675</v>
      </c>
      <c r="G49" s="12">
        <v>92925</v>
      </c>
      <c r="J49" s="12">
        <v>-13931</v>
      </c>
    </row>
    <row r="50" spans="1:10" x14ac:dyDescent="0.25">
      <c r="A50" s="12" t="s">
        <v>138</v>
      </c>
      <c r="D50" s="12">
        <v>125211</v>
      </c>
      <c r="G50" s="12">
        <v>32286</v>
      </c>
      <c r="J50" s="12">
        <v>46217</v>
      </c>
    </row>
    <row r="51" spans="1:10" x14ac:dyDescent="0.25">
      <c r="A51" s="12" t="s">
        <v>139</v>
      </c>
      <c r="D51" s="12">
        <v>40536</v>
      </c>
      <c r="G51" s="12">
        <v>125211</v>
      </c>
      <c r="J51" s="12">
        <v>32286</v>
      </c>
    </row>
    <row r="52" spans="1:10" x14ac:dyDescent="0.25">
      <c r="A52" s="12" t="s">
        <v>140</v>
      </c>
    </row>
    <row r="53" spans="1:10" x14ac:dyDescent="0.25">
      <c r="A53" s="12" t="s">
        <v>141</v>
      </c>
      <c r="D53" s="12">
        <v>73116</v>
      </c>
      <c r="G53" s="12">
        <v>68929</v>
      </c>
      <c r="J53" s="12">
        <v>79334</v>
      </c>
    </row>
    <row r="54" spans="1:10" x14ac:dyDescent="0.25">
      <c r="A54" s="12" t="s">
        <v>142</v>
      </c>
      <c r="D54" s="12">
        <v>13995</v>
      </c>
      <c r="G54" s="12">
        <v>14973</v>
      </c>
      <c r="J54" s="12">
        <v>16648</v>
      </c>
    </row>
    <row r="55" spans="1:10" x14ac:dyDescent="0.25">
      <c r="A55" s="12" t="s">
        <v>172</v>
      </c>
    </row>
    <row r="56" spans="1:10" x14ac:dyDescent="0.25">
      <c r="D56" s="12">
        <f>SUM(D10:D54)</f>
        <v>5002</v>
      </c>
      <c r="G56" s="12">
        <f>SUM(G10:G54)</f>
        <v>665074</v>
      </c>
      <c r="J56" s="12">
        <f>SUM(J10:J54)</f>
        <v>172676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0610670-1a80-434a-88c3-e568bce39bc5}" enabled="0" method="" siteId="{90610670-1a80-434a-88c3-e568bce39bc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Presentation</vt:lpstr>
      <vt:lpstr>Valuation (Base)</vt:lpstr>
      <vt:lpstr>3-Statement (Base)</vt:lpstr>
      <vt:lpstr>Valuation (Downside)</vt:lpstr>
      <vt:lpstr>3-Statement (Downside)</vt:lpstr>
      <vt:lpstr>Support -&gt;</vt:lpstr>
      <vt:lpstr>SOFR</vt:lpstr>
      <vt:lpstr>Income Statement</vt:lpstr>
      <vt:lpstr>Balance Sheet NWC (Base)</vt:lpstr>
      <vt:lpstr>Balance Sheet NWC (Downside)</vt:lpstr>
      <vt:lpstr>Cash Flows</vt:lpstr>
      <vt:lpstr>BS Q3-24</vt:lpstr>
      <vt:lpstr>BS Q2-24</vt:lpstr>
      <vt:lpstr>BS Q1-24</vt:lpstr>
      <vt:lpstr>BS FY23</vt:lpstr>
      <vt:lpstr>BS FY22</vt:lpstr>
      <vt:lpstr>BS FY21</vt:lpstr>
      <vt:lpstr>IS Q3-24</vt:lpstr>
      <vt:lpstr>IS Q2-24</vt:lpstr>
      <vt:lpstr>IS Q1-24</vt:lpstr>
      <vt:lpstr>IS FY23</vt:lpstr>
      <vt:lpstr>IS FY22</vt:lpstr>
      <vt:lpstr>IS FY21</vt:lpstr>
      <vt:lpstr>CF Q3-24</vt:lpstr>
      <vt:lpstr>CF Q2-24</vt:lpstr>
      <vt:lpstr>CF Q1-24</vt:lpstr>
      <vt:lpstr>CF FY23</vt:lpstr>
      <vt:lpstr>CF FY22</vt:lpstr>
      <vt:lpstr>CF FY21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Atkins</dc:creator>
  <cp:lastModifiedBy>Daniel Atkins</cp:lastModifiedBy>
  <dcterms:created xsi:type="dcterms:W3CDTF">2024-12-30T23:50:37Z</dcterms:created>
  <dcterms:modified xsi:type="dcterms:W3CDTF">2026-01-13T02:13:04Z</dcterms:modified>
</cp:coreProperties>
</file>